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ncalobarros/Documents/projects/New_MB_QA/"/>
    </mc:Choice>
  </mc:AlternateContent>
  <xr:revisionPtr revIDLastSave="0" documentId="13_ncr:1_{1DAB5FCA-9914-4D47-AEDA-5D1FCB8B5197}" xr6:coauthVersionLast="47" xr6:coauthVersionMax="47" xr10:uidLastSave="{00000000-0000-0000-0000-000000000000}"/>
  <bookViews>
    <workbookView xWindow="-4840" yWindow="-23500" windowWidth="38400" windowHeight="23500" xr2:uid="{8B440D99-9E33-9C4E-9F67-8DCE69C977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" i="1" l="1"/>
  <c r="T12" i="1" s="1"/>
  <c r="S11" i="1"/>
  <c r="S12" i="1" s="1"/>
</calcChain>
</file>

<file path=xl/sharedStrings.xml><?xml version="1.0" encoding="utf-8"?>
<sst xmlns="http://schemas.openxmlformats.org/spreadsheetml/2006/main" count="1413" uniqueCount="180">
  <si>
    <t>group</t>
  </si>
  <si>
    <t>subject</t>
  </si>
  <si>
    <t>day</t>
  </si>
  <si>
    <t>session</t>
  </si>
  <si>
    <t>side</t>
  </si>
  <si>
    <t>axis</t>
  </si>
  <si>
    <t>file</t>
  </si>
  <si>
    <t>frac_missing</t>
  </si>
  <si>
    <t>out_of_range_frac</t>
  </si>
  <si>
    <t>flatline_samples_frac</t>
  </si>
  <si>
    <t>spikes_frac</t>
  </si>
  <si>
    <t>saturation_frac</t>
  </si>
  <si>
    <t>variance</t>
  </si>
  <si>
    <t>status</t>
  </si>
  <si>
    <t>extra_info</t>
  </si>
  <si>
    <t>group2</t>
  </si>
  <si>
    <t>2022-06-22_11-30-01</t>
  </si>
  <si>
    <t>left</t>
  </si>
  <si>
    <t>xAcc</t>
  </si>
  <si>
    <t>/Volumes/NO NAME/Backup PrevOccupAI data/jan2023/data/group2/sensors/LIBPhys #009/2022-06-22/11-30-00/opensignals_886B0FABF8C9_2022-06-22_11-30-01.txt</t>
  </si>
  <si>
    <t>GOOD</t>
  </si>
  <si>
    <t>yAcc</t>
  </si>
  <si>
    <t>zAcc</t>
  </si>
  <si>
    <t>right</t>
  </si>
  <si>
    <t>/Volumes/NO NAME/Backup PrevOccupAI data/jan2023/data/group2/sensors/LIBPhys #009/2022-06-22/11-30-00/opensignals_886B0FABF797_2022-06-22_11-30-01.txt</t>
  </si>
  <si>
    <t>group4</t>
  </si>
  <si>
    <t>2022-07-20_11-00-01</t>
  </si>
  <si>
    <t>/Volumes/NO NAME/Backup PrevOccupAI data/jan2023/data/group4/sensors/LIBPhys #002/2022-07-20/11-00-00/opensignals_886B0FABF7D3_2022-07-20_11-00-01.txt</t>
  </si>
  <si>
    <t>Good</t>
  </si>
  <si>
    <t>Bad</t>
  </si>
  <si>
    <t>2022-07-20_11-00-09</t>
  </si>
  <si>
    <t>/Volumes/NO NAME/Backup PrevOccupAI data/jan2023/data/group4/sensors/LIBPhys #002/2022-07-20/11-00-00/opensignals_588E81A24A0D_2022-07-20_11-00-09.txt</t>
  </si>
  <si>
    <t>%</t>
  </si>
  <si>
    <t>2022-07-18_16-00-32</t>
  </si>
  <si>
    <t>/Volumes/NO NAME/Backup PrevOccupAI data/jan2023/data/group4/sensors/LIBPhys #006/2022-07-18/16-00-00/opensignals_886B0FABF754_2022-07-18_16-00-32.txt</t>
  </si>
  <si>
    <t>2022-06-20_15-00-02</t>
  </si>
  <si>
    <t>/Volumes/NO NAME/Backup PrevOccupAI data/jan2023/data/group2/sensors/LIBPhys #001/2022-06-20/15-00-00/opensignals_886B0FABF87D_2022-06-20_15-00-02.txt</t>
  </si>
  <si>
    <t>2022-06-20_15-00-01</t>
  </si>
  <si>
    <t>/Volumes/NO NAME/Backup PrevOccupAI data/jan2023/data/group2/sensors/LIBPhys #001/2022-06-20/15-00-00/opensignals_588E81A248D5_2022-06-20_15-00-01.txt</t>
  </si>
  <si>
    <t>group3</t>
  </si>
  <si>
    <t>2022-07-05_12-00-01</t>
  </si>
  <si>
    <t>/Volumes/NO NAME/Backup PrevOccupAI data/jan2023/data/group3/sensors/LIBPhys #008/2022-07-05/12-00-00/opensignals_588E81A249B2_2022-07-05_12-00-01.txt</t>
  </si>
  <si>
    <t>2022-07-05_12-00-20</t>
  </si>
  <si>
    <t>/Volumes/NO NAME/Backup PrevOccupAI data/jan2023/data/group3/sensors/LIBPhys #008/2022-07-05/12-00-00/opensignals_588E81A24887_2022-07-05_12-00-20.txt</t>
  </si>
  <si>
    <t>2022-07-20_11-30-01</t>
  </si>
  <si>
    <t>/Volumes/NO NAME/Backup PrevOccupAI data/jan2023/data/group4/sensors/LIBPhys #011/2022-07-20/11-30-00/opensignals_886B0FABF8C9_2022-07-20_11-30-01.txt</t>
  </si>
  <si>
    <t>2022-07-20_11-30-00</t>
  </si>
  <si>
    <t>/Volumes/NO NAME/Backup PrevOccupAI data/jan2023/data/group4/sensors/LIBPhys #011/2022-07-20/11-30-00/opensignals_886B0FABF797_2022-07-20_11-30-00.txt</t>
  </si>
  <si>
    <t>2022-07-05_14-30-29</t>
  </si>
  <si>
    <t>/Volumes/NO NAME/Backup PrevOccupAI data/jan2023/data/group3/sensors/LIBPhys #001/2022-07-05/14-30-00/opensignals_886B0FABF87D_2022-07-05_14-30-29.txt</t>
  </si>
  <si>
    <t>2022-07-05_14-30-17</t>
  </si>
  <si>
    <t>/Volumes/NO NAME/Backup PrevOccupAI data/jan2023/data/group3/sensors/LIBPhys #001/2022-07-05/14-30-00/opensignals_588E81A248D5_2022-07-05_14-30-17.txt</t>
  </si>
  <si>
    <t>2022-07-20_09-30-01</t>
  </si>
  <si>
    <t>/Volumes/NO NAME/Backup PrevOccupAI data/jan2023/data/group4/sensors/LIBPhys #005/2022-07-20/09-30-00/opensignals_84FD27E504C3_2022-07-20_09-30-01.txt</t>
  </si>
  <si>
    <t>2022-07-20_09-30-07</t>
  </si>
  <si>
    <t>/Volumes/NO NAME/Backup PrevOccupAI data/jan2023/data/group4/sensors/LIBPhys #005/2022-07-20/09-30-00/opensignals_886B0FABF7DB_2022-07-20_09-30-07.txt</t>
  </si>
  <si>
    <t>2022-06-24_11-21-01</t>
  </si>
  <si>
    <t>/Volumes/NO NAME/Backup PrevOccupAI data/jan2023/data/group2/sensors/LIBPhys #004/2022-06-24/11-20-00/opensignals_886B0FABF703_2022-06-24_11-21-01.txt</t>
  </si>
  <si>
    <t>2022-06-24_11-20-24</t>
  </si>
  <si>
    <t>/Volumes/NO NAME/Backup PrevOccupAI data/jan2023/data/group2/sensors/LIBPhys #004/2022-06-24/11-20-00/opensignals_588E81A249C7_2022-06-24_11-20-24.txt</t>
  </si>
  <si>
    <t>2022-07-19_14-30-02</t>
  </si>
  <si>
    <t>/Volumes/NO NAME/Backup PrevOccupAI data/jan2023/data/group4/sensors/LIBPhys #004/2022-07-19/14-30-00/opensignals_886B0FABF703_2022-07-19_14-30-02.txt</t>
  </si>
  <si>
    <t>2022-07-19_14-30-00</t>
  </si>
  <si>
    <t>/Volumes/NO NAME/Backup PrevOccupAI data/jan2023/data/group4/sensors/LIBPhys #004/2022-07-19/14-30-00/opensignals_588E81A249C7_2022-07-19_14-30-00.txt</t>
  </si>
  <si>
    <t>group1</t>
  </si>
  <si>
    <t>2022-05-04_15-40-08</t>
  </si>
  <si>
    <t>/Volumes/NO NAME/Backup PrevOccupAI data/jan2023/data/group1/sensors/LIBPhys #008/2022-05-04/15-40-02/opensignals_588E81A249B2_2022-05-04_15-40-08.txt</t>
  </si>
  <si>
    <t>2022-05-04_15-40-54</t>
  </si>
  <si>
    <t>/Volumes/NO NAME/Backup PrevOccupAI data/jan2023/data/group1/sensors/LIBPhys #008/2022-05-04/15-40-02/opensignals_588E81A24887_2022-05-04_15-40-54.txt</t>
  </si>
  <si>
    <t>2022-07-07_10-30-01</t>
  </si>
  <si>
    <t>/Volumes/NO NAME/Backup PrevOccupAI data/jan2023/data/group3/sensors/LIBPhys #001/2022-07-07/10-30-00/opensignals_886B0FABF87D_2022-07-07_10-30-01.txt</t>
  </si>
  <si>
    <t>2022-07-07_10-35-00</t>
  </si>
  <si>
    <t>/Volumes/NO NAME/Backup PrevOccupAI data/jan2023/data/group3/sensors/LIBPhys #001/2022-07-07/10-30-00/opensignals_588E81A248D5_2022-07-07_10-35-00.txt</t>
  </si>
  <si>
    <t>2022-06-21_09-40-44</t>
  </si>
  <si>
    <t>/Volumes/NO NAME/Backup PrevOccupAI data/jan2023/data/group2/sensors/LIBPhys #003/2022-06-21/09-40-00/opensignals_886B0FABF7B1_2022-06-21_09-40-44.txt</t>
  </si>
  <si>
    <t>2022-06-21_09-40-01</t>
  </si>
  <si>
    <t>/Volumes/NO NAME/Backup PrevOccupAI data/jan2023/data/group2/sensors/LIBPhys #003/2022-06-21/09-40-00/opensignals_588E81A24A2B_2022-06-21_09-40-01.txt</t>
  </si>
  <si>
    <t>2022-07-19_11-00-20</t>
  </si>
  <si>
    <t>/Volumes/NO NAME/Backup PrevOccupAI data/jan2023/data/group4/sensors/LIBPhys #001/2022-07-19/11-00-00/opensignals_886B0FABF87D_2022-07-19_11-00-20.txt</t>
  </si>
  <si>
    <t>2022-07-19_11-03-58</t>
  </si>
  <si>
    <t>/Volumes/NO NAME/Backup PrevOccupAI data/jan2023/data/group4/sensors/LIBPhys #001/2022-07-19/11-00-00/opensignals_588E81A248D5_2022-07-19_11-03-58.txt</t>
  </si>
  <si>
    <t>2022-07-08_09-30-01</t>
  </si>
  <si>
    <t>/Volumes/NO NAME/Backup PrevOccupAI data/jan2023/data/group3/sensors/LIBPhys #009/2022-07-08/09-30-01/opensignals_886B0FABF8C9_2022-07-08_09-30-01.txt</t>
  </si>
  <si>
    <t>2022-07-08_09-30-02</t>
  </si>
  <si>
    <t>/Volumes/NO NAME/Backup PrevOccupAI data/jan2023/data/group3/sensors/LIBPhys #009/2022-07-08/09-30-01/opensignals_886B0FABF797_2022-07-08_09-30-02.txt</t>
  </si>
  <si>
    <t>2022-07-19_10-25-02</t>
  </si>
  <si>
    <t>/Volumes/NO NAME/Backup PrevOccupAI data/jan2023/data/group4/sensors/LIBPhys #008/2022-07-19/10-25-00/opensignals_588E81A249B2_2022-07-19_10-25-02.txt</t>
  </si>
  <si>
    <t>/Volumes/NO NAME/Backup PrevOccupAI data/jan2023/data/group4/sensors/LIBPhys #008/2022-07-19/10-25-00/opensignals_588E81A24887_2022-07-19_10-25-02.txt</t>
  </si>
  <si>
    <t>2022-07-19_14-40-02</t>
  </si>
  <si>
    <t>/Volumes/NO NAME/Backup PrevOccupAI data/jan2023/data/group4/sensors/LIBPhys #002/2022-07-19/14-40-00/opensignals_886B0FABF7D3_2022-07-19_14-40-02.txt</t>
  </si>
  <si>
    <t>2022-07-19_14-40-17</t>
  </si>
  <si>
    <t>/Volumes/NO NAME/Backup PrevOccupAI data/jan2023/data/group4/sensors/LIBPhys #002/2022-07-19/14-40-00/opensignals_588E81A24A0D_2022-07-19_14-40-17.txt</t>
  </si>
  <si>
    <t>2022-07-21_11-05-04</t>
  </si>
  <si>
    <t>/Volumes/NO NAME/Backup PrevOccupAI data/jan2023/data/group4/sensors/LIBPhys #008/2022-07-21/11-05-01/opensignals_588E81A249B2_2022-07-21_11-05-04.txt</t>
  </si>
  <si>
    <t>2022-07-21_11-05-03</t>
  </si>
  <si>
    <t>/Volumes/NO NAME/Backup PrevOccupAI data/jan2023/data/group4/sensors/LIBPhys #008/2022-07-21/11-05-01/opensignals_588E81A24887_2022-07-21_11-05-03.txt</t>
  </si>
  <si>
    <t>2022-07-06_14-30-02</t>
  </si>
  <si>
    <t>/Volumes/NO NAME/Backup PrevOccupAI data/jan2023/data/group3/sensors/LIBPhys #008/2022-07-06/14-30-00/opensignals_588E81A249B2_2022-07-06_14-30-02.txt</t>
  </si>
  <si>
    <t>2022-07-06_14-30-18</t>
  </si>
  <si>
    <t>/Volumes/NO NAME/Backup PrevOccupAI data/jan2023/data/group3/sensors/LIBPhys #008/2022-07-06/14-30-00/opensignals_588E81A24887_2022-07-06_14-30-18.txt</t>
  </si>
  <si>
    <t>2022-07-21_10-00-03</t>
  </si>
  <si>
    <t>/Volumes/NO NAME/Backup PrevOccupAI data/jan2023/data/group4/sensors/LIBPhys #004/2022-07-21/10-00-00/opensignals_886B0FABF703_2022-07-21_10-00-03.txt</t>
  </si>
  <si>
    <t>2022-07-21_10-00-31</t>
  </si>
  <si>
    <t>/Volumes/NO NAME/Backup PrevOccupAI data/jan2023/data/group4/sensors/LIBPhys #004/2022-07-21/10-00-00/opensignals_588E81A249C7_2022-07-21_10-00-31.txt</t>
  </si>
  <si>
    <t>BAD</t>
  </si>
  <si>
    <t>frac_missing (0.0635 &gt; 0.01)</t>
  </si>
  <si>
    <t>2022-07-18_11-20-00</t>
  </si>
  <si>
    <t>/Volumes/NO NAME/Backup PrevOccupAI data/jan2023/data/group4/sensors/LIBPhys #007/2022-07-18/11-20-00/opensignals_588E81A24A57_2022-07-18_11-20-00.txt</t>
  </si>
  <si>
    <t>/Volumes/NO NAME/Backup PrevOccupAI data/jan2023/data/group4/sensors/LIBPhys #007/2022-07-18/11-20-00/opensignals_886B0FABF89E_2022-07-18_11-20-00.txt</t>
  </si>
  <si>
    <t>2022-07-20_15-30-00</t>
  </si>
  <si>
    <t>/Volumes/NO NAME/Backup PrevOccupAI data/jan2023/data/group4/sensors/LIBPhys #008/2022-07-20/15-30-00/opensignals_588E81A249B2_2022-07-20_15-30-00.txt</t>
  </si>
  <si>
    <t>2022-07-20_15-30-05</t>
  </si>
  <si>
    <t>/Volumes/NO NAME/Backup PrevOccupAI data/jan2023/data/group4/sensors/LIBPhys #008/2022-07-20/15-30-00/opensignals_588E81A24887_2022-07-20_15-30-05.txt</t>
  </si>
  <si>
    <t>2022-07-22_14-30-04</t>
  </si>
  <si>
    <t>/Volumes/NO NAME/Backup PrevOccupAI data/jan2023/data/group4/sensors/LIBPhys #002/2022-07-22/14-30-01/opensignals_886B0FABF7D3_2022-07-22_14-30-04.txt</t>
  </si>
  <si>
    <t>frac_missing (0.0108 &gt; 0.01)</t>
  </si>
  <si>
    <t>2022-07-22_14-30-02</t>
  </si>
  <si>
    <t>/Volumes/NO NAME/Backup PrevOccupAI data/jan2023/data/group4/sensors/LIBPhys #002/2022-07-22/14-30-01/opensignals_588E81A24A0D_2022-07-22_14-30-02.txt</t>
  </si>
  <si>
    <t>frac_missing (0.0133 &gt; 0.01)</t>
  </si>
  <si>
    <t>2022-07-20_09-15-05</t>
  </si>
  <si>
    <t>/Volumes/NO NAME/Backup PrevOccupAI data/jan2023/data/group4/sensors/LIBPhys #010/2022-07-20/09-15-05/opensignals_588E81A24A5D_2022-07-20_09-15-05.txt</t>
  </si>
  <si>
    <t>/Volumes/NO NAME/Backup PrevOccupAI data/jan2023/data/group4/sensors/LIBPhys #010/2022-07-20/09-15-05/opensignals_886B0FABF921_2022-07-20_09-15-05.txt</t>
  </si>
  <si>
    <t>2022-07-18_09-30-02</t>
  </si>
  <si>
    <t>/Volumes/NO NAME/Backup PrevOccupAI data/jan2023/data/group4/sensors/LIBPhys #011/2022-07-18/09-30-02/opensignals_886B0FABF8C9_2022-07-18_09-30-02.txt</t>
  </si>
  <si>
    <t>2022-07-18_09-30-22</t>
  </si>
  <si>
    <t>/Volumes/NO NAME/Backup PrevOccupAI data/jan2023/data/group4/sensors/LIBPhys #011/2022-07-18/09-30-02/opensignals_886B0FABF797_2022-07-18_09-30-22.txt</t>
  </si>
  <si>
    <t>2022-05-02_16-00-18</t>
  </si>
  <si>
    <t>/Volumes/NO NAME/Backup PrevOccupAI data/jan2023/data/group1/sensors/LIBPhys #010/2022-05-02/16-00-01/opensignals_588E81A248FD_2022-05-02_16-00-18.txt</t>
  </si>
  <si>
    <t>2022-05-02_16-00-51</t>
  </si>
  <si>
    <t>/Volumes/NO NAME/Backup PrevOccupAI data/jan2023/data/group1/sensors/LIBPhys #010/2022-05-02/16-00-01/opensignals_886B0FABF921_2022-05-02_16-00-51.txt</t>
  </si>
  <si>
    <t>2022-05-04_14-30-03</t>
  </si>
  <si>
    <t>/Volumes/NO NAME/Backup PrevOccupAI data/jan2023/data/group1/sensors/LIBPhys #007/2022-05-04/14-30-01/opensignals_588E81A24A57_2022-05-04_14-30-03.txt</t>
  </si>
  <si>
    <t>2022-05-04_14-30-05</t>
  </si>
  <si>
    <t>/Volumes/NO NAME/Backup PrevOccupAI data/jan2023/data/group1/sensors/LIBPhys #007/2022-05-04/14-30-01/opensignals_886B0FABF89E_2022-05-04_14-30-05.txt</t>
  </si>
  <si>
    <t>2022-06-24_14-30-00</t>
  </si>
  <si>
    <t>/Volumes/NO NAME/Backup PrevOccupAI data/jan2023/data/group2/sensors/LIBPhys #007/2022-06-24/14-30-00/opensignals_588E81A24A57_2022-06-24_14-30-00.txt</t>
  </si>
  <si>
    <t>/Volumes/NO NAME/Backup PrevOccupAI data/jan2023/data/group2/sensors/LIBPhys #007/2022-06-24/14-30-00/opensignals_886B0FABF89E_2022-06-24_14-30-00.txt</t>
  </si>
  <si>
    <t>2022-07-19_09-30-01</t>
  </si>
  <si>
    <t>/Volumes/NO NAME/Backup PrevOccupAI data/jan2023/data/group4/sensors/LIBPhys #006/2022-07-19/09-30-00/opensignals_886B0FABF754_2022-07-19_09-30-01.txt</t>
  </si>
  <si>
    <t>/Volumes/NO NAME/Backup PrevOccupAI data/jan2023/data/group4/sensors/LIBPhys #006/2022-07-19/09-30-00/opensignals_886B0FABF870_2022-07-19_09-30-01.txt</t>
  </si>
  <si>
    <t>2022-07-18_10-10-01</t>
  </si>
  <si>
    <t>/Volumes/NO NAME/Backup PrevOccupAI data/jan2023/data/group4/sensors/LIBPhys #008/2022-07-18/10-10-00/opensignals_588E81A249B2_2022-07-18_10-10-01.txt</t>
  </si>
  <si>
    <t>2022-07-18_10-10-04</t>
  </si>
  <si>
    <t>/Volumes/NO NAME/Backup PrevOccupAI data/jan2023/data/group4/sensors/LIBPhys #008/2022-07-18/10-10-00/opensignals_588E81A24887_2022-07-18_10-10-04.txt</t>
  </si>
  <si>
    <t>2022-05-02_11-00-01</t>
  </si>
  <si>
    <t>/Volumes/NO NAME/Backup PrevOccupAI data/jan2023/data/group1/sensors/LIBPhys #003/2022-05-02/11-00-00/opensignals_886B0FABF7B1_2022-05-02_11-00-01.txt</t>
  </si>
  <si>
    <t>2022-05-02_11-00-00</t>
  </si>
  <si>
    <t>/Volumes/NO NAME/Backup PrevOccupAI data/jan2023/data/group1/sensors/LIBPhys #003/2022-05-02/11-00-00/opensignals_588E81A24A2B_2022-05-02_11-00-00.txt</t>
  </si>
  <si>
    <t>2022-07-04_16-00-54</t>
  </si>
  <si>
    <t>/Volumes/NO NAME/Backup PrevOccupAI data/jan2023/data/group3/sensors/LIBPhys #004/2022-07-04/16-00-00/opensignals_886B0FABF703_2022-07-04_16-00-54.txt</t>
  </si>
  <si>
    <t>2022-07-08_15-00-00</t>
  </si>
  <si>
    <t>/Volumes/NO NAME/Backup PrevOccupAI data/jan2023/data/group3/sensors/LIBPhys #009/2022-07-08/15-00-00/opensignals_886B0FABF8C9_2022-07-08_15-00-00.txt</t>
  </si>
  <si>
    <t>2022-07-08_15-00-33</t>
  </si>
  <si>
    <t>/Volumes/NO NAME/Backup PrevOccupAI data/jan2023/data/group3/sensors/LIBPhys #009/2022-07-08/15-00-00/opensignals_886B0FABF797_2022-07-08_15-00-33.txt</t>
  </si>
  <si>
    <t>2022-07-04_15-30-01</t>
  </si>
  <si>
    <t>/Volumes/NO NAME/Backup PrevOccupAI data/jan2023/data/group3/sensors/LIBPhys #003/2022-07-04/15-30-00/opensignals_886B0FABF7B1_2022-07-04_15-30-01.txt</t>
  </si>
  <si>
    <t>2022-07-04_15-30-02</t>
  </si>
  <si>
    <t>/Volumes/NO NAME/Backup PrevOccupAI data/jan2023/data/group3/sensors/LIBPhys #003/2022-07-04/15-30-00/opensignals_588E81A24A2B_2022-07-04_15-30-02.txt</t>
  </si>
  <si>
    <t>2022-07-04_15-31-34</t>
  </si>
  <si>
    <t>/Volumes/NO NAME/Backup PrevOccupAI data/jan2023/data/group3/sensors/LIBPhys #005/2022-07-04/15-31-33/opensignals_84FD27E504C3_2022-07-04_15-31-34.txt</t>
  </si>
  <si>
    <t>2022-07-04_15-31-35</t>
  </si>
  <si>
    <t>/Volumes/NO NAME/Backup PrevOccupAI data/jan2023/data/group3/sensors/LIBPhys #005/2022-07-04/15-31-33/opensignals_886B0FABF7DB_2022-07-04_15-31-35.txt</t>
  </si>
  <si>
    <t>2022-05-06_11-31-54</t>
  </si>
  <si>
    <t>/Volumes/NO NAME/Backup PrevOccupAI data/jan2023/data/group1/sensors/LIBPhys #006/2022-05-06/11-30-03/opensignals_886B0FABF754_2022-05-06_11-31-54.txt</t>
  </si>
  <si>
    <t>2022-05-06_11-30-03</t>
  </si>
  <si>
    <t>/Volumes/NO NAME/Backup PrevOccupAI data/jan2023/data/group1/sensors/LIBPhys #006/2022-05-06/11-30-03/opensignals_886B0FABF870_2022-05-06_11-30-03.txt</t>
  </si>
  <si>
    <t>2022-07-06_14-00-01</t>
  </si>
  <si>
    <t>/Volumes/NO NAME/Backup PrevOccupAI data/jan2023/data/group3/sensors/LIBPhys #003/2022-07-06/14-00-00/opensignals_886B0FABF7B1_2022-07-06_14-00-01.txt</t>
  </si>
  <si>
    <t>2022-07-06_14-00-02</t>
  </si>
  <si>
    <t>/Volumes/NO NAME/Backup PrevOccupAI data/jan2023/data/group3/sensors/LIBPhys #003/2022-07-06/14-00-00/opensignals_588E81A24A2B_2022-07-06_14-00-02.txt</t>
  </si>
  <si>
    <t>2022-05-02_12-00-02</t>
  </si>
  <si>
    <t>/Volumes/NO NAME/Backup PrevOccupAI data/jan2023/data/group1/sensors/LIBPhys #001/2022-05-02/12-00-01/opensignals_886B0FABF87D_2022-05-02_12-00-02.txt</t>
  </si>
  <si>
    <t>2022-05-02_12-00-17</t>
  </si>
  <si>
    <t>/Volumes/NO NAME/Backup PrevOccupAI data/jan2023/data/group1/sensors/LIBPhys #001/2022-05-02/12-00-01/opensignals_588E81A248D5_2022-05-02_12-00-17.txt</t>
  </si>
  <si>
    <t>2022-07-19_16-00-19</t>
  </si>
  <si>
    <t>/Volumes/NO NAME/Backup PrevOccupAI data/jan2023/data/group4/sensors/LIBPhys #010/2022-07-19/16-00-00/opensignals_886B0FABF921_2022-07-19_16-00-19.txt</t>
  </si>
  <si>
    <t>2022-07-04_12-30-01</t>
  </si>
  <si>
    <t>/Volumes/NO NAME/Backup PrevOccupAI data/jan2023/data/group3/sensors/LIBPhys #009/2022-07-04/12-30-01/opensignals_886B0FABF8C9_2022-07-04_12-30-01.txt</t>
  </si>
  <si>
    <t>2022-07-04_12-30-07</t>
  </si>
  <si>
    <t>/Volumes/NO NAME/Backup PrevOccupAI data/jan2023/data/group3/sensors/LIBPhys #009/2022-07-04/12-30-01/opensignals_886B0FABF797_2022-07-04_12-30-07.txt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</si>
</sst>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3B3B3B"/>
      <name val="Menlo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1" fontId="0" fillId="0" borderId="0" xfId="0" applyNumberFormat="1"/>
    <xf numFmtId="0" fontId="2" fillId="0" borderId="0" xfId="0" applyFont="1"/>
  </cellXfs>
  <cellStyles count="1">
    <cellStyle name="Normal" xfId="0" builtinId="0"/>
  </cellStyles>
  <dxfs count="3">
    <dxf>
      <numFmt numFmtId="15" formatCode="0.00E+00"/>
    </dxf>
    <dxf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B3B3B"/>
        <name val="Menlo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C5FFA5-5F9B-A540-B9A7-84A734F40C67}" name="Table1" displayName="Table1" ref="A1:O232" totalsRowShown="0">
  <autoFilter ref="A1:O232" xr:uid="{65C5FFA5-5F9B-A540-B9A7-84A734F40C67}"/>
  <tableColumns count="15">
    <tableColumn id="1" xr3:uid="{8AB6BFFA-64C7-4F49-98CC-16AFDEFB94C3}" name="group" dataDxfId="2"/>
    <tableColumn id="2" xr3:uid="{C8C21AEF-25C9-A041-8119-DD71DB014B96}" name="subject"/>
    <tableColumn id="3" xr3:uid="{006D02E2-0D66-2040-AE03-1C6401E0F718}" name="day" dataDxfId="1"/>
    <tableColumn id="4" xr3:uid="{F026F49E-AFDA-1248-9475-1C9BEE85171A}" name="session"/>
    <tableColumn id="5" xr3:uid="{7AE0F00C-2335-7B4B-968C-ED22FC38333F}" name="side"/>
    <tableColumn id="6" xr3:uid="{FAFA7155-5040-004E-9E8C-A3F82240EE79}" name="axis"/>
    <tableColumn id="7" xr3:uid="{A745ED2A-B1B0-914A-8FE2-79A13E4B119D}" name="file"/>
    <tableColumn id="8" xr3:uid="{6B5FCE8A-F608-1545-9455-FD85E1432C99}" name="frac_missing" dataDxfId="0"/>
    <tableColumn id="9" xr3:uid="{4BA1D827-FA87-4F4C-B76A-C4CADA4FFAEB}" name="out_of_range_frac"/>
    <tableColumn id="10" xr3:uid="{05517475-5949-2E47-BEE3-23BD54FAB83C}" name="flatline_samples_frac"/>
    <tableColumn id="11" xr3:uid="{53EC6D05-68A4-3F44-BA73-C73C19459115}" name="spikes_frac"/>
    <tableColumn id="12" xr3:uid="{C34F339D-B275-B64A-B14D-2511C52428EC}" name="saturation_frac"/>
    <tableColumn id="13" xr3:uid="{A5D8D207-2A00-9A47-8B97-6CD8987AAC43}" name="variance"/>
    <tableColumn id="14" xr3:uid="{07298DD7-861A-5F4A-B85C-9F2F3CE49042}" name="status"/>
    <tableColumn id="15" xr3:uid="{81092EAB-2ACE-8943-B2C8-74CF57348C0B}" name="extra_inf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BEEC2-F3AE-8543-ACF1-B6AE516806F2}">
  <dimension ref="A1:U232"/>
  <sheetViews>
    <sheetView tabSelected="1" topLeftCell="A85" workbookViewId="0">
      <selection activeCell="A116" sqref="A116:XFD116"/>
    </sheetView>
  </sheetViews>
  <sheetFormatPr baseColWidth="10" defaultRowHeight="16" x14ac:dyDescent="0.2"/>
  <cols>
    <col min="1" max="1" width="11" customWidth="1"/>
    <col min="2" max="2" width="9.83203125" bestFit="1" customWidth="1"/>
    <col min="4" max="4" width="28" customWidth="1"/>
    <col min="8" max="8" width="14.5" bestFit="1" customWidth="1"/>
    <col min="9" max="9" width="12.83203125" customWidth="1"/>
    <col min="10" max="10" width="16.1640625" customWidth="1"/>
    <col min="11" max="11" width="14.83203125" customWidth="1"/>
    <col min="12" max="12" width="11" customWidth="1"/>
  </cols>
  <sheetData>
    <row r="1" spans="1:21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21" x14ac:dyDescent="0.2">
      <c r="A2" s="1" t="s">
        <v>15</v>
      </c>
      <c r="B2">
        <v>46</v>
      </c>
      <c r="C2" s="2">
        <v>44734</v>
      </c>
      <c r="D2" t="s">
        <v>16</v>
      </c>
      <c r="E2" t="s">
        <v>17</v>
      </c>
      <c r="F2" t="s">
        <v>18</v>
      </c>
      <c r="G2" t="s">
        <v>19</v>
      </c>
      <c r="H2" s="3">
        <v>0</v>
      </c>
      <c r="I2">
        <v>0</v>
      </c>
      <c r="J2">
        <v>0</v>
      </c>
      <c r="K2">
        <v>0</v>
      </c>
      <c r="L2">
        <v>0</v>
      </c>
      <c r="M2" t="b">
        <v>0</v>
      </c>
      <c r="N2" t="s">
        <v>20</v>
      </c>
    </row>
    <row r="3" spans="1:21" x14ac:dyDescent="0.2">
      <c r="A3" s="1" t="s">
        <v>15</v>
      </c>
      <c r="B3">
        <v>46</v>
      </c>
      <c r="C3" s="2">
        <v>44734</v>
      </c>
      <c r="D3" t="s">
        <v>16</v>
      </c>
      <c r="E3" t="s">
        <v>17</v>
      </c>
      <c r="F3" t="s">
        <v>21</v>
      </c>
      <c r="G3" t="s">
        <v>19</v>
      </c>
      <c r="H3">
        <v>0</v>
      </c>
      <c r="I3">
        <v>0</v>
      </c>
      <c r="J3">
        <v>0</v>
      </c>
      <c r="K3">
        <v>0</v>
      </c>
      <c r="L3">
        <v>0</v>
      </c>
      <c r="M3" t="b">
        <v>0</v>
      </c>
      <c r="N3" t="s">
        <v>20</v>
      </c>
    </row>
    <row r="4" spans="1:21" x14ac:dyDescent="0.2">
      <c r="A4" s="1" t="s">
        <v>15</v>
      </c>
      <c r="B4">
        <v>46</v>
      </c>
      <c r="C4" s="2">
        <v>44734</v>
      </c>
      <c r="D4" t="s">
        <v>16</v>
      </c>
      <c r="E4" t="s">
        <v>17</v>
      </c>
      <c r="F4" t="s">
        <v>22</v>
      </c>
      <c r="G4" t="s">
        <v>19</v>
      </c>
      <c r="H4" s="3">
        <v>0</v>
      </c>
      <c r="I4">
        <v>0</v>
      </c>
      <c r="J4">
        <v>0</v>
      </c>
      <c r="K4" s="3">
        <v>2.5162866654420701E-5</v>
      </c>
      <c r="L4">
        <v>0</v>
      </c>
      <c r="M4" t="b">
        <v>0</v>
      </c>
      <c r="N4" t="s">
        <v>20</v>
      </c>
    </row>
    <row r="5" spans="1:21" x14ac:dyDescent="0.2">
      <c r="A5" s="1" t="s">
        <v>15</v>
      </c>
      <c r="B5">
        <v>46</v>
      </c>
      <c r="C5" s="2">
        <v>44734</v>
      </c>
      <c r="D5" t="s">
        <v>16</v>
      </c>
      <c r="E5" t="s">
        <v>23</v>
      </c>
      <c r="F5" t="s">
        <v>18</v>
      </c>
      <c r="G5" t="s">
        <v>24</v>
      </c>
      <c r="H5">
        <v>0</v>
      </c>
      <c r="I5">
        <v>0</v>
      </c>
      <c r="J5">
        <v>0</v>
      </c>
      <c r="K5">
        <v>0</v>
      </c>
      <c r="L5">
        <v>0</v>
      </c>
      <c r="M5" t="b">
        <v>0</v>
      </c>
      <c r="N5" t="s">
        <v>20</v>
      </c>
    </row>
    <row r="6" spans="1:21" x14ac:dyDescent="0.2">
      <c r="A6" s="1" t="s">
        <v>15</v>
      </c>
      <c r="B6">
        <v>46</v>
      </c>
      <c r="C6" s="2">
        <v>44734</v>
      </c>
      <c r="D6" t="s">
        <v>16</v>
      </c>
      <c r="E6" t="s">
        <v>23</v>
      </c>
      <c r="F6" t="s">
        <v>21</v>
      </c>
      <c r="G6" t="s">
        <v>24</v>
      </c>
      <c r="H6" s="3">
        <v>0</v>
      </c>
      <c r="I6">
        <v>0</v>
      </c>
      <c r="J6">
        <v>0</v>
      </c>
      <c r="K6" s="3">
        <v>2.0880139646373898E-5</v>
      </c>
      <c r="L6">
        <v>0</v>
      </c>
      <c r="M6" t="b">
        <v>0</v>
      </c>
      <c r="N6" t="s">
        <v>20</v>
      </c>
    </row>
    <row r="7" spans="1:21" x14ac:dyDescent="0.2">
      <c r="A7" s="1" t="s">
        <v>15</v>
      </c>
      <c r="B7">
        <v>46</v>
      </c>
      <c r="C7" s="2">
        <v>44734</v>
      </c>
      <c r="D7" t="s">
        <v>16</v>
      </c>
      <c r="E7" t="s">
        <v>23</v>
      </c>
      <c r="F7" t="s">
        <v>22</v>
      </c>
      <c r="G7" t="s">
        <v>24</v>
      </c>
      <c r="H7">
        <v>0</v>
      </c>
      <c r="I7">
        <v>0</v>
      </c>
      <c r="J7">
        <v>0</v>
      </c>
      <c r="K7" s="3">
        <v>2.5056167575648699E-5</v>
      </c>
      <c r="L7">
        <v>0</v>
      </c>
      <c r="M7" t="b">
        <v>0</v>
      </c>
      <c r="N7" t="s">
        <v>20</v>
      </c>
    </row>
    <row r="8" spans="1:21" x14ac:dyDescent="0.2">
      <c r="A8" s="1" t="s">
        <v>25</v>
      </c>
      <c r="B8">
        <v>59</v>
      </c>
      <c r="C8" s="2">
        <v>44762</v>
      </c>
      <c r="D8" t="s">
        <v>26</v>
      </c>
      <c r="E8" t="s">
        <v>17</v>
      </c>
      <c r="F8" t="s">
        <v>18</v>
      </c>
      <c r="G8" t="s">
        <v>27</v>
      </c>
      <c r="H8">
        <v>0</v>
      </c>
      <c r="I8">
        <v>0</v>
      </c>
      <c r="J8">
        <v>0</v>
      </c>
      <c r="K8">
        <v>0</v>
      </c>
      <c r="L8">
        <v>0</v>
      </c>
      <c r="M8" t="b">
        <v>0</v>
      </c>
      <c r="N8" t="s">
        <v>20</v>
      </c>
    </row>
    <row r="9" spans="1:21" x14ac:dyDescent="0.2">
      <c r="A9" s="1" t="s">
        <v>25</v>
      </c>
      <c r="B9">
        <v>59</v>
      </c>
      <c r="C9" s="2">
        <v>44762</v>
      </c>
      <c r="D9" t="s">
        <v>26</v>
      </c>
      <c r="E9" t="s">
        <v>17</v>
      </c>
      <c r="F9" t="s">
        <v>21</v>
      </c>
      <c r="G9" t="s">
        <v>27</v>
      </c>
      <c r="H9">
        <v>0</v>
      </c>
      <c r="I9">
        <v>0</v>
      </c>
      <c r="J9">
        <v>0</v>
      </c>
      <c r="K9">
        <v>0</v>
      </c>
      <c r="L9">
        <v>0</v>
      </c>
      <c r="M9" t="b">
        <v>0</v>
      </c>
      <c r="N9" t="s">
        <v>20</v>
      </c>
    </row>
    <row r="10" spans="1:21" x14ac:dyDescent="0.2">
      <c r="A10" s="1" t="s">
        <v>25</v>
      </c>
      <c r="B10">
        <v>59</v>
      </c>
      <c r="C10" s="2">
        <v>44762</v>
      </c>
      <c r="D10" t="s">
        <v>26</v>
      </c>
      <c r="E10" t="s">
        <v>17</v>
      </c>
      <c r="F10" t="s">
        <v>22</v>
      </c>
      <c r="G10" t="s">
        <v>27</v>
      </c>
      <c r="H10">
        <v>0</v>
      </c>
      <c r="I10">
        <v>0</v>
      </c>
      <c r="J10">
        <v>0</v>
      </c>
      <c r="K10" s="3">
        <v>2.5045311142074499E-5</v>
      </c>
      <c r="L10">
        <v>0</v>
      </c>
      <c r="M10" t="b">
        <v>0</v>
      </c>
      <c r="N10" t="s">
        <v>20</v>
      </c>
      <c r="S10" s="4" t="s">
        <v>28</v>
      </c>
      <c r="T10" s="4" t="s">
        <v>29</v>
      </c>
    </row>
    <row r="11" spans="1:21" x14ac:dyDescent="0.2">
      <c r="A11" s="1" t="s">
        <v>25</v>
      </c>
      <c r="B11">
        <v>59</v>
      </c>
      <c r="C11" s="2">
        <v>44762</v>
      </c>
      <c r="D11" t="s">
        <v>30</v>
      </c>
      <c r="E11" t="s">
        <v>23</v>
      </c>
      <c r="F11" t="s">
        <v>18</v>
      </c>
      <c r="G11" t="s">
        <v>31</v>
      </c>
      <c r="H11">
        <v>0</v>
      </c>
      <c r="I11">
        <v>0</v>
      </c>
      <c r="J11">
        <v>0</v>
      </c>
      <c r="K11">
        <v>0</v>
      </c>
      <c r="L11">
        <v>0</v>
      </c>
      <c r="M11" t="b">
        <v>0</v>
      </c>
      <c r="N11" t="s">
        <v>20</v>
      </c>
      <c r="S11">
        <f>COUNTIF($N$2:$N$3877,"GOOD")</f>
        <v>222</v>
      </c>
      <c r="T11">
        <f>COUNTIF($N$2:$N$3877,"BAD")</f>
        <v>9</v>
      </c>
    </row>
    <row r="12" spans="1:21" x14ac:dyDescent="0.2">
      <c r="A12" s="1" t="s">
        <v>25</v>
      </c>
      <c r="B12">
        <v>59</v>
      </c>
      <c r="C12" s="2">
        <v>44762</v>
      </c>
      <c r="D12" t="s">
        <v>30</v>
      </c>
      <c r="E12" t="s">
        <v>23</v>
      </c>
      <c r="F12" t="s">
        <v>21</v>
      </c>
      <c r="G12" t="s">
        <v>31</v>
      </c>
      <c r="H12">
        <v>0</v>
      </c>
      <c r="I12">
        <v>0</v>
      </c>
      <c r="J12">
        <v>0</v>
      </c>
      <c r="K12">
        <v>0</v>
      </c>
      <c r="L12">
        <v>0</v>
      </c>
      <c r="M12" t="b">
        <v>0</v>
      </c>
      <c r="N12" t="s">
        <v>20</v>
      </c>
      <c r="S12">
        <f>S11/(S11+T11)*100</f>
        <v>96.103896103896105</v>
      </c>
      <c r="T12">
        <f>T11/(S11+T11)*100</f>
        <v>3.8961038961038961</v>
      </c>
      <c r="U12" t="s">
        <v>32</v>
      </c>
    </row>
    <row r="13" spans="1:21" x14ac:dyDescent="0.2">
      <c r="A13" s="1" t="s">
        <v>25</v>
      </c>
      <c r="B13">
        <v>59</v>
      </c>
      <c r="C13" s="2">
        <v>44762</v>
      </c>
      <c r="D13" t="s">
        <v>30</v>
      </c>
      <c r="E13" t="s">
        <v>23</v>
      </c>
      <c r="F13" t="s">
        <v>22</v>
      </c>
      <c r="G13" t="s">
        <v>31</v>
      </c>
      <c r="H13">
        <v>0</v>
      </c>
      <c r="I13">
        <v>0</v>
      </c>
      <c r="J13">
        <v>0</v>
      </c>
      <c r="K13" s="3">
        <v>2.5230056061184501E-5</v>
      </c>
      <c r="L13">
        <v>0</v>
      </c>
      <c r="M13" t="b">
        <v>0</v>
      </c>
      <c r="N13" t="s">
        <v>20</v>
      </c>
    </row>
    <row r="14" spans="1:21" x14ac:dyDescent="0.2">
      <c r="A14" s="1" t="s">
        <v>25</v>
      </c>
      <c r="B14">
        <v>63</v>
      </c>
      <c r="C14" s="2">
        <v>44760</v>
      </c>
      <c r="D14" t="s">
        <v>33</v>
      </c>
      <c r="E14" t="s">
        <v>17</v>
      </c>
      <c r="F14" t="s">
        <v>18</v>
      </c>
      <c r="G14" t="s">
        <v>34</v>
      </c>
      <c r="H14">
        <v>0</v>
      </c>
      <c r="I14">
        <v>0</v>
      </c>
      <c r="J14">
        <v>0</v>
      </c>
      <c r="K14">
        <v>0</v>
      </c>
      <c r="L14">
        <v>0</v>
      </c>
      <c r="M14" t="b">
        <v>0</v>
      </c>
      <c r="N14" t="s">
        <v>20</v>
      </c>
    </row>
    <row r="15" spans="1:21" x14ac:dyDescent="0.2">
      <c r="A15" s="1" t="s">
        <v>25</v>
      </c>
      <c r="B15">
        <v>63</v>
      </c>
      <c r="C15" s="2">
        <v>44760</v>
      </c>
      <c r="D15" t="s">
        <v>33</v>
      </c>
      <c r="E15" t="s">
        <v>17</v>
      </c>
      <c r="F15" t="s">
        <v>21</v>
      </c>
      <c r="G15" t="s">
        <v>34</v>
      </c>
      <c r="H15">
        <v>0</v>
      </c>
      <c r="I15">
        <v>0</v>
      </c>
      <c r="J15">
        <v>0</v>
      </c>
      <c r="K15" s="3">
        <v>2.5744001647616101E-6</v>
      </c>
      <c r="L15">
        <v>0</v>
      </c>
      <c r="M15" t="b">
        <v>0</v>
      </c>
      <c r="N15" t="s">
        <v>20</v>
      </c>
    </row>
    <row r="16" spans="1:21" x14ac:dyDescent="0.2">
      <c r="A16" s="1" t="s">
        <v>25</v>
      </c>
      <c r="B16">
        <v>63</v>
      </c>
      <c r="C16" s="2">
        <v>44760</v>
      </c>
      <c r="D16" t="s">
        <v>33</v>
      </c>
      <c r="E16" t="s">
        <v>17</v>
      </c>
      <c r="F16" t="s">
        <v>22</v>
      </c>
      <c r="G16" t="s">
        <v>34</v>
      </c>
      <c r="H16">
        <v>0</v>
      </c>
      <c r="I16">
        <v>0</v>
      </c>
      <c r="J16">
        <v>0</v>
      </c>
      <c r="K16" s="3">
        <v>2.5744001647616101E-5</v>
      </c>
      <c r="L16">
        <v>0</v>
      </c>
      <c r="M16" t="b">
        <v>0</v>
      </c>
      <c r="N16" t="s">
        <v>20</v>
      </c>
    </row>
    <row r="17" spans="1:14" x14ac:dyDescent="0.2">
      <c r="A17" s="1" t="s">
        <v>15</v>
      </c>
      <c r="B17">
        <v>38</v>
      </c>
      <c r="C17" s="2">
        <v>44732</v>
      </c>
      <c r="D17" t="s">
        <v>35</v>
      </c>
      <c r="E17" t="s">
        <v>17</v>
      </c>
      <c r="F17" t="s">
        <v>18</v>
      </c>
      <c r="G17" t="s">
        <v>36</v>
      </c>
      <c r="H17">
        <v>0</v>
      </c>
      <c r="I17">
        <v>0</v>
      </c>
      <c r="J17">
        <v>0</v>
      </c>
      <c r="K17">
        <v>0</v>
      </c>
      <c r="L17">
        <v>0</v>
      </c>
      <c r="M17" t="b">
        <v>0</v>
      </c>
      <c r="N17" t="s">
        <v>20</v>
      </c>
    </row>
    <row r="18" spans="1:14" x14ac:dyDescent="0.2">
      <c r="A18" s="1" t="s">
        <v>15</v>
      </c>
      <c r="B18">
        <v>38</v>
      </c>
      <c r="C18" s="2">
        <v>44732</v>
      </c>
      <c r="D18" t="s">
        <v>35</v>
      </c>
      <c r="E18" t="s">
        <v>17</v>
      </c>
      <c r="F18" t="s">
        <v>21</v>
      </c>
      <c r="G18" t="s">
        <v>36</v>
      </c>
      <c r="H18">
        <v>0</v>
      </c>
      <c r="I18">
        <v>0</v>
      </c>
      <c r="J18">
        <v>0</v>
      </c>
      <c r="K18">
        <v>0</v>
      </c>
      <c r="L18">
        <v>0</v>
      </c>
      <c r="M18" t="b">
        <v>0</v>
      </c>
      <c r="N18" t="s">
        <v>20</v>
      </c>
    </row>
    <row r="19" spans="1:14" x14ac:dyDescent="0.2">
      <c r="A19" s="1" t="s">
        <v>15</v>
      </c>
      <c r="B19">
        <v>38</v>
      </c>
      <c r="C19" s="2">
        <v>44732</v>
      </c>
      <c r="D19" t="s">
        <v>35</v>
      </c>
      <c r="E19" t="s">
        <v>17</v>
      </c>
      <c r="F19" t="s">
        <v>22</v>
      </c>
      <c r="G19" t="s">
        <v>36</v>
      </c>
      <c r="H19">
        <v>0</v>
      </c>
      <c r="I19">
        <v>0</v>
      </c>
      <c r="J19">
        <v>0</v>
      </c>
      <c r="K19" s="3">
        <v>2.5107838164918298E-5</v>
      </c>
      <c r="L19">
        <v>0</v>
      </c>
      <c r="M19" t="b">
        <v>0</v>
      </c>
      <c r="N19" t="s">
        <v>20</v>
      </c>
    </row>
    <row r="20" spans="1:14" x14ac:dyDescent="0.2">
      <c r="A20" s="1" t="s">
        <v>15</v>
      </c>
      <c r="B20">
        <v>38</v>
      </c>
      <c r="C20" s="2">
        <v>44732</v>
      </c>
      <c r="D20" t="s">
        <v>37</v>
      </c>
      <c r="E20" t="s">
        <v>23</v>
      </c>
      <c r="F20" t="s">
        <v>18</v>
      </c>
      <c r="G20" t="s">
        <v>38</v>
      </c>
      <c r="H20" s="3">
        <v>0</v>
      </c>
      <c r="I20">
        <v>0</v>
      </c>
      <c r="J20">
        <v>0</v>
      </c>
      <c r="K20">
        <v>0</v>
      </c>
      <c r="L20">
        <v>0</v>
      </c>
      <c r="M20" t="b">
        <v>0</v>
      </c>
      <c r="N20" t="s">
        <v>20</v>
      </c>
    </row>
    <row r="21" spans="1:14" x14ac:dyDescent="0.2">
      <c r="A21" s="1" t="s">
        <v>15</v>
      </c>
      <c r="B21">
        <v>38</v>
      </c>
      <c r="C21" s="2">
        <v>44732</v>
      </c>
      <c r="D21" t="s">
        <v>37</v>
      </c>
      <c r="E21" t="s">
        <v>23</v>
      </c>
      <c r="F21" t="s">
        <v>21</v>
      </c>
      <c r="G21" t="s">
        <v>38</v>
      </c>
      <c r="H21" s="3">
        <v>0</v>
      </c>
      <c r="I21">
        <v>0</v>
      </c>
      <c r="J21">
        <v>0</v>
      </c>
      <c r="K21">
        <v>0</v>
      </c>
      <c r="L21">
        <v>0</v>
      </c>
      <c r="M21" t="b">
        <v>0</v>
      </c>
      <c r="N21" t="s">
        <v>20</v>
      </c>
    </row>
    <row r="22" spans="1:14" x14ac:dyDescent="0.2">
      <c r="A22" s="1" t="s">
        <v>15</v>
      </c>
      <c r="B22">
        <v>38</v>
      </c>
      <c r="C22" s="2">
        <v>44732</v>
      </c>
      <c r="D22" t="s">
        <v>37</v>
      </c>
      <c r="E22" t="s">
        <v>23</v>
      </c>
      <c r="F22" t="s">
        <v>22</v>
      </c>
      <c r="G22" t="s">
        <v>38</v>
      </c>
      <c r="H22" s="3">
        <v>0</v>
      </c>
      <c r="I22">
        <v>0</v>
      </c>
      <c r="J22">
        <v>0</v>
      </c>
      <c r="K22" s="3">
        <v>2.5054807391168101E-5</v>
      </c>
      <c r="L22">
        <v>0</v>
      </c>
      <c r="M22" t="b">
        <v>0</v>
      </c>
      <c r="N22" t="s">
        <v>20</v>
      </c>
    </row>
    <row r="23" spans="1:14" x14ac:dyDescent="0.2">
      <c r="A23" s="1" t="s">
        <v>39</v>
      </c>
      <c r="B23">
        <v>55</v>
      </c>
      <c r="C23" s="2">
        <v>44747</v>
      </c>
      <c r="D23" t="s">
        <v>40</v>
      </c>
      <c r="E23" t="s">
        <v>17</v>
      </c>
      <c r="F23" t="s">
        <v>18</v>
      </c>
      <c r="G23" t="s">
        <v>41</v>
      </c>
      <c r="H23">
        <v>5.07496459667849E-4</v>
      </c>
      <c r="I23">
        <v>0</v>
      </c>
      <c r="J23">
        <v>0</v>
      </c>
      <c r="K23">
        <v>0</v>
      </c>
      <c r="L23">
        <v>0</v>
      </c>
      <c r="M23" t="b">
        <v>0</v>
      </c>
      <c r="N23" t="s">
        <v>20</v>
      </c>
    </row>
    <row r="24" spans="1:14" x14ac:dyDescent="0.2">
      <c r="A24" s="1" t="s">
        <v>39</v>
      </c>
      <c r="B24">
        <v>55</v>
      </c>
      <c r="C24" s="2">
        <v>44747</v>
      </c>
      <c r="D24" t="s">
        <v>40</v>
      </c>
      <c r="E24" t="s">
        <v>17</v>
      </c>
      <c r="F24" t="s">
        <v>21</v>
      </c>
      <c r="G24" t="s">
        <v>41</v>
      </c>
      <c r="H24">
        <v>5.07496459667849E-4</v>
      </c>
      <c r="I24">
        <v>0</v>
      </c>
      <c r="J24">
        <v>0</v>
      </c>
      <c r="K24">
        <v>0</v>
      </c>
      <c r="L24">
        <v>0</v>
      </c>
      <c r="M24" t="b">
        <v>0</v>
      </c>
      <c r="N24" t="s">
        <v>20</v>
      </c>
    </row>
    <row r="25" spans="1:14" x14ac:dyDescent="0.2">
      <c r="A25" s="1" t="s">
        <v>39</v>
      </c>
      <c r="B25">
        <v>55</v>
      </c>
      <c r="C25" s="2">
        <v>44747</v>
      </c>
      <c r="D25" t="s">
        <v>40</v>
      </c>
      <c r="E25" t="s">
        <v>17</v>
      </c>
      <c r="F25" t="s">
        <v>22</v>
      </c>
      <c r="G25" t="s">
        <v>41</v>
      </c>
      <c r="H25">
        <v>5.07496459667849E-4</v>
      </c>
      <c r="I25">
        <v>0</v>
      </c>
      <c r="J25">
        <v>0</v>
      </c>
      <c r="K25" s="3">
        <v>2.51235871122697E-5</v>
      </c>
      <c r="L25">
        <v>0</v>
      </c>
      <c r="M25" t="b">
        <v>0</v>
      </c>
      <c r="N25" t="s">
        <v>20</v>
      </c>
    </row>
    <row r="26" spans="1:14" x14ac:dyDescent="0.2">
      <c r="A26" s="1" t="s">
        <v>39</v>
      </c>
      <c r="B26">
        <v>55</v>
      </c>
      <c r="C26" s="2">
        <v>44747</v>
      </c>
      <c r="D26" t="s">
        <v>42</v>
      </c>
      <c r="E26" t="s">
        <v>23</v>
      </c>
      <c r="F26" t="s">
        <v>18</v>
      </c>
      <c r="G26" t="s">
        <v>43</v>
      </c>
      <c r="H26" s="3">
        <v>0</v>
      </c>
      <c r="I26">
        <v>0</v>
      </c>
      <c r="J26">
        <v>0</v>
      </c>
      <c r="K26">
        <v>0</v>
      </c>
      <c r="L26">
        <v>0</v>
      </c>
      <c r="M26" t="b">
        <v>0</v>
      </c>
      <c r="N26" t="s">
        <v>20</v>
      </c>
    </row>
    <row r="27" spans="1:14" x14ac:dyDescent="0.2">
      <c r="A27" s="1" t="s">
        <v>39</v>
      </c>
      <c r="B27">
        <v>55</v>
      </c>
      <c r="C27" s="2">
        <v>44747</v>
      </c>
      <c r="D27" t="s">
        <v>42</v>
      </c>
      <c r="E27" t="s">
        <v>23</v>
      </c>
      <c r="F27" t="s">
        <v>21</v>
      </c>
      <c r="G27" t="s">
        <v>43</v>
      </c>
      <c r="H27" s="3">
        <v>0</v>
      </c>
      <c r="I27">
        <v>0</v>
      </c>
      <c r="J27">
        <v>0</v>
      </c>
      <c r="K27">
        <v>0</v>
      </c>
      <c r="L27">
        <v>0</v>
      </c>
      <c r="M27" t="b">
        <v>0</v>
      </c>
      <c r="N27" t="s">
        <v>20</v>
      </c>
    </row>
    <row r="28" spans="1:14" x14ac:dyDescent="0.2">
      <c r="A28" s="1" t="s">
        <v>39</v>
      </c>
      <c r="B28">
        <v>55</v>
      </c>
      <c r="C28" s="2">
        <v>44747</v>
      </c>
      <c r="D28" t="s">
        <v>42</v>
      </c>
      <c r="E28" t="s">
        <v>23</v>
      </c>
      <c r="F28" t="s">
        <v>22</v>
      </c>
      <c r="G28" t="s">
        <v>43</v>
      </c>
      <c r="H28" s="3">
        <v>0</v>
      </c>
      <c r="I28">
        <v>0</v>
      </c>
      <c r="J28">
        <v>0</v>
      </c>
      <c r="K28" s="3">
        <v>2.56082383409958E-5</v>
      </c>
      <c r="L28">
        <v>0</v>
      </c>
      <c r="M28" t="b">
        <v>0</v>
      </c>
      <c r="N28" t="s">
        <v>20</v>
      </c>
    </row>
    <row r="29" spans="1:14" x14ac:dyDescent="0.2">
      <c r="A29" s="1" t="s">
        <v>25</v>
      </c>
      <c r="B29">
        <v>66</v>
      </c>
      <c r="C29" s="2">
        <v>44762</v>
      </c>
      <c r="D29" t="s">
        <v>44</v>
      </c>
      <c r="E29" t="s">
        <v>17</v>
      </c>
      <c r="F29" t="s">
        <v>18</v>
      </c>
      <c r="G29" t="s">
        <v>45</v>
      </c>
      <c r="H29">
        <v>0</v>
      </c>
      <c r="I29">
        <v>0</v>
      </c>
      <c r="J29">
        <v>0</v>
      </c>
      <c r="K29">
        <v>0</v>
      </c>
      <c r="L29">
        <v>0</v>
      </c>
      <c r="M29" t="b">
        <v>0</v>
      </c>
      <c r="N29" t="s">
        <v>20</v>
      </c>
    </row>
    <row r="30" spans="1:14" x14ac:dyDescent="0.2">
      <c r="A30" s="1" t="s">
        <v>25</v>
      </c>
      <c r="B30">
        <v>66</v>
      </c>
      <c r="C30" s="2">
        <v>44762</v>
      </c>
      <c r="D30" t="s">
        <v>44</v>
      </c>
      <c r="E30" t="s">
        <v>17</v>
      </c>
      <c r="F30" t="s">
        <v>21</v>
      </c>
      <c r="G30" t="s">
        <v>45</v>
      </c>
      <c r="H30">
        <v>0</v>
      </c>
      <c r="I30">
        <v>0</v>
      </c>
      <c r="J30">
        <v>0</v>
      </c>
      <c r="K30">
        <v>0</v>
      </c>
      <c r="L30">
        <v>0</v>
      </c>
      <c r="M30" t="b">
        <v>0</v>
      </c>
      <c r="N30" t="s">
        <v>20</v>
      </c>
    </row>
    <row r="31" spans="1:14" x14ac:dyDescent="0.2">
      <c r="A31" s="1" t="s">
        <v>25</v>
      </c>
      <c r="B31">
        <v>66</v>
      </c>
      <c r="C31" s="2">
        <v>44762</v>
      </c>
      <c r="D31" t="s">
        <v>44</v>
      </c>
      <c r="E31" t="s">
        <v>17</v>
      </c>
      <c r="F31" t="s">
        <v>22</v>
      </c>
      <c r="G31" t="s">
        <v>45</v>
      </c>
      <c r="H31">
        <v>0</v>
      </c>
      <c r="I31">
        <v>0</v>
      </c>
      <c r="J31">
        <v>0</v>
      </c>
      <c r="K31" s="3">
        <v>2.5059851278135899E-5</v>
      </c>
      <c r="L31">
        <v>0</v>
      </c>
      <c r="M31" t="b">
        <v>0</v>
      </c>
      <c r="N31" t="s">
        <v>20</v>
      </c>
    </row>
    <row r="32" spans="1:14" x14ac:dyDescent="0.2">
      <c r="A32" s="1" t="s">
        <v>25</v>
      </c>
      <c r="B32">
        <v>66</v>
      </c>
      <c r="C32" s="2">
        <v>44762</v>
      </c>
      <c r="D32" t="s">
        <v>46</v>
      </c>
      <c r="E32" t="s">
        <v>23</v>
      </c>
      <c r="F32" t="s">
        <v>18</v>
      </c>
      <c r="G32" t="s">
        <v>47</v>
      </c>
      <c r="H32" s="3">
        <v>5.84235977919218E-6</v>
      </c>
      <c r="I32">
        <v>0</v>
      </c>
      <c r="J32">
        <v>0</v>
      </c>
      <c r="K32">
        <v>0</v>
      </c>
      <c r="L32">
        <v>0</v>
      </c>
      <c r="M32" t="b">
        <v>0</v>
      </c>
      <c r="N32" t="s">
        <v>20</v>
      </c>
    </row>
    <row r="33" spans="1:14" x14ac:dyDescent="0.2">
      <c r="A33" s="1" t="s">
        <v>25</v>
      </c>
      <c r="B33">
        <v>66</v>
      </c>
      <c r="C33" s="2">
        <v>44762</v>
      </c>
      <c r="D33" t="s">
        <v>46</v>
      </c>
      <c r="E33" t="s">
        <v>23</v>
      </c>
      <c r="F33" t="s">
        <v>21</v>
      </c>
      <c r="G33" t="s">
        <v>47</v>
      </c>
      <c r="H33" s="3">
        <v>5.84235977919218E-6</v>
      </c>
      <c r="I33">
        <v>0</v>
      </c>
      <c r="J33">
        <v>0</v>
      </c>
      <c r="K33">
        <v>0</v>
      </c>
      <c r="L33">
        <v>0</v>
      </c>
      <c r="M33" t="b">
        <v>0</v>
      </c>
      <c r="N33" t="s">
        <v>20</v>
      </c>
    </row>
    <row r="34" spans="1:14" x14ac:dyDescent="0.2">
      <c r="A34" s="1" t="s">
        <v>25</v>
      </c>
      <c r="B34">
        <v>66</v>
      </c>
      <c r="C34" s="2">
        <v>44762</v>
      </c>
      <c r="D34" t="s">
        <v>46</v>
      </c>
      <c r="E34" t="s">
        <v>23</v>
      </c>
      <c r="F34" t="s">
        <v>22</v>
      </c>
      <c r="G34" t="s">
        <v>47</v>
      </c>
      <c r="H34" s="3">
        <v>5.84235977919218E-6</v>
      </c>
      <c r="I34">
        <v>0</v>
      </c>
      <c r="J34">
        <v>0</v>
      </c>
      <c r="K34" s="3">
        <v>2.5038684767966498E-5</v>
      </c>
      <c r="L34">
        <v>0</v>
      </c>
      <c r="M34" t="b">
        <v>0</v>
      </c>
      <c r="N34" t="s">
        <v>20</v>
      </c>
    </row>
    <row r="35" spans="1:14" x14ac:dyDescent="0.2">
      <c r="A35" s="1" t="s">
        <v>39</v>
      </c>
      <c r="B35">
        <v>48</v>
      </c>
      <c r="C35" s="2">
        <v>44747</v>
      </c>
      <c r="D35" t="s">
        <v>48</v>
      </c>
      <c r="E35" t="s">
        <v>17</v>
      </c>
      <c r="F35" t="s">
        <v>18</v>
      </c>
      <c r="G35" t="s">
        <v>49</v>
      </c>
      <c r="H35">
        <v>0</v>
      </c>
      <c r="I35">
        <v>0</v>
      </c>
      <c r="J35">
        <v>0</v>
      </c>
      <c r="K35">
        <v>0</v>
      </c>
      <c r="L35">
        <v>0</v>
      </c>
      <c r="M35" t="b">
        <v>0</v>
      </c>
      <c r="N35" t="s">
        <v>20</v>
      </c>
    </row>
    <row r="36" spans="1:14" x14ac:dyDescent="0.2">
      <c r="A36" s="1" t="s">
        <v>39</v>
      </c>
      <c r="B36">
        <v>48</v>
      </c>
      <c r="C36" s="2">
        <v>44747</v>
      </c>
      <c r="D36" t="s">
        <v>48</v>
      </c>
      <c r="E36" t="s">
        <v>17</v>
      </c>
      <c r="F36" t="s">
        <v>21</v>
      </c>
      <c r="G36" t="s">
        <v>49</v>
      </c>
      <c r="H36">
        <v>0</v>
      </c>
      <c r="I36">
        <v>0</v>
      </c>
      <c r="J36">
        <v>0</v>
      </c>
      <c r="K36">
        <v>0</v>
      </c>
      <c r="L36">
        <v>0</v>
      </c>
      <c r="M36" t="b">
        <v>0</v>
      </c>
      <c r="N36" t="s">
        <v>20</v>
      </c>
    </row>
    <row r="37" spans="1:14" x14ac:dyDescent="0.2">
      <c r="A37" s="1" t="s">
        <v>39</v>
      </c>
      <c r="B37">
        <v>48</v>
      </c>
      <c r="C37" s="2">
        <v>44747</v>
      </c>
      <c r="D37" t="s">
        <v>48</v>
      </c>
      <c r="E37" t="s">
        <v>17</v>
      </c>
      <c r="F37" t="s">
        <v>22</v>
      </c>
      <c r="G37" t="s">
        <v>49</v>
      </c>
      <c r="H37">
        <v>0</v>
      </c>
      <c r="I37">
        <v>0</v>
      </c>
      <c r="J37">
        <v>0</v>
      </c>
      <c r="K37" s="3">
        <v>2.5835898981634901E-5</v>
      </c>
      <c r="L37">
        <v>0</v>
      </c>
      <c r="M37" t="b">
        <v>0</v>
      </c>
      <c r="N37" t="s">
        <v>20</v>
      </c>
    </row>
    <row r="38" spans="1:14" x14ac:dyDescent="0.2">
      <c r="A38" s="1" t="s">
        <v>39</v>
      </c>
      <c r="B38">
        <v>48</v>
      </c>
      <c r="C38" s="2">
        <v>44747</v>
      </c>
      <c r="D38" t="s">
        <v>50</v>
      </c>
      <c r="E38" t="s">
        <v>23</v>
      </c>
      <c r="F38" t="s">
        <v>18</v>
      </c>
      <c r="G38" t="s">
        <v>51</v>
      </c>
      <c r="H38">
        <v>1.48169095652041E-4</v>
      </c>
      <c r="I38">
        <v>0</v>
      </c>
      <c r="J38">
        <v>0</v>
      </c>
      <c r="K38">
        <v>0</v>
      </c>
      <c r="L38">
        <v>0</v>
      </c>
      <c r="M38" t="b">
        <v>0</v>
      </c>
      <c r="N38" t="s">
        <v>20</v>
      </c>
    </row>
    <row r="39" spans="1:14" x14ac:dyDescent="0.2">
      <c r="A39" s="1" t="s">
        <v>39</v>
      </c>
      <c r="B39">
        <v>48</v>
      </c>
      <c r="C39" s="2">
        <v>44747</v>
      </c>
      <c r="D39" t="s">
        <v>50</v>
      </c>
      <c r="E39" t="s">
        <v>23</v>
      </c>
      <c r="F39" t="s">
        <v>21</v>
      </c>
      <c r="G39" t="s">
        <v>51</v>
      </c>
      <c r="H39">
        <v>1.48169095652041E-4</v>
      </c>
      <c r="I39">
        <v>0</v>
      </c>
      <c r="J39">
        <v>0</v>
      </c>
      <c r="K39">
        <v>0</v>
      </c>
      <c r="L39">
        <v>0</v>
      </c>
      <c r="M39" t="b">
        <v>0</v>
      </c>
      <c r="N39" t="s">
        <v>20</v>
      </c>
    </row>
    <row r="40" spans="1:14" x14ac:dyDescent="0.2">
      <c r="A40" s="1" t="s">
        <v>39</v>
      </c>
      <c r="B40">
        <v>48</v>
      </c>
      <c r="C40" s="2">
        <v>44747</v>
      </c>
      <c r="D40" t="s">
        <v>50</v>
      </c>
      <c r="E40" t="s">
        <v>23</v>
      </c>
      <c r="F40" t="s">
        <v>22</v>
      </c>
      <c r="G40" t="s">
        <v>51</v>
      </c>
      <c r="H40">
        <v>1.48169095652041E-4</v>
      </c>
      <c r="I40">
        <v>0</v>
      </c>
      <c r="J40">
        <v>0</v>
      </c>
      <c r="K40" s="3">
        <v>2.5400416397492801E-5</v>
      </c>
      <c r="L40">
        <v>0</v>
      </c>
      <c r="M40" t="b">
        <v>0</v>
      </c>
      <c r="N40" t="s">
        <v>20</v>
      </c>
    </row>
    <row r="41" spans="1:14" x14ac:dyDescent="0.2">
      <c r="A41" s="1" t="s">
        <v>25</v>
      </c>
      <c r="B41">
        <v>62</v>
      </c>
      <c r="C41" s="2">
        <v>44762</v>
      </c>
      <c r="D41" t="s">
        <v>52</v>
      </c>
      <c r="E41" t="s">
        <v>17</v>
      </c>
      <c r="F41" t="s">
        <v>18</v>
      </c>
      <c r="G41" t="s">
        <v>53</v>
      </c>
      <c r="H41">
        <v>0</v>
      </c>
      <c r="I41">
        <v>0</v>
      </c>
      <c r="J41">
        <v>0</v>
      </c>
      <c r="K41" s="3">
        <v>2.5136617516200502E-6</v>
      </c>
      <c r="L41">
        <v>0</v>
      </c>
      <c r="M41" t="b">
        <v>0</v>
      </c>
      <c r="N41" t="s">
        <v>20</v>
      </c>
    </row>
    <row r="42" spans="1:14" x14ac:dyDescent="0.2">
      <c r="A42" s="1" t="s">
        <v>25</v>
      </c>
      <c r="B42">
        <v>62</v>
      </c>
      <c r="C42" s="2">
        <v>44762</v>
      </c>
      <c r="D42" t="s">
        <v>52</v>
      </c>
      <c r="E42" t="s">
        <v>17</v>
      </c>
      <c r="F42" t="s">
        <v>21</v>
      </c>
      <c r="G42" t="s">
        <v>53</v>
      </c>
      <c r="H42">
        <v>0</v>
      </c>
      <c r="I42">
        <v>0</v>
      </c>
      <c r="J42">
        <v>0</v>
      </c>
      <c r="K42" s="3">
        <v>2.5136617516200502E-6</v>
      </c>
      <c r="L42">
        <v>0</v>
      </c>
      <c r="M42" t="b">
        <v>0</v>
      </c>
      <c r="N42" t="s">
        <v>20</v>
      </c>
    </row>
    <row r="43" spans="1:14" x14ac:dyDescent="0.2">
      <c r="A43" s="1" t="s">
        <v>25</v>
      </c>
      <c r="B43">
        <v>62</v>
      </c>
      <c r="C43" s="2">
        <v>44762</v>
      </c>
      <c r="D43" t="s">
        <v>52</v>
      </c>
      <c r="E43" t="s">
        <v>17</v>
      </c>
      <c r="F43" t="s">
        <v>22</v>
      </c>
      <c r="G43" t="s">
        <v>53</v>
      </c>
      <c r="H43">
        <v>0</v>
      </c>
      <c r="I43">
        <v>0</v>
      </c>
      <c r="J43">
        <v>0</v>
      </c>
      <c r="K43" s="3">
        <v>2.2622955764580399E-5</v>
      </c>
      <c r="L43">
        <v>0</v>
      </c>
      <c r="M43" t="b">
        <v>0</v>
      </c>
      <c r="N43" t="s">
        <v>20</v>
      </c>
    </row>
    <row r="44" spans="1:14" x14ac:dyDescent="0.2">
      <c r="A44" s="1" t="s">
        <v>25</v>
      </c>
      <c r="B44">
        <v>62</v>
      </c>
      <c r="C44" s="2">
        <v>44762</v>
      </c>
      <c r="D44" t="s">
        <v>54</v>
      </c>
      <c r="E44" t="s">
        <v>23</v>
      </c>
      <c r="F44" t="s">
        <v>18</v>
      </c>
      <c r="G44" t="s">
        <v>55</v>
      </c>
      <c r="H44">
        <v>0</v>
      </c>
      <c r="I44">
        <v>0</v>
      </c>
      <c r="J44">
        <v>0</v>
      </c>
      <c r="K44">
        <v>0</v>
      </c>
      <c r="L44">
        <v>0</v>
      </c>
      <c r="M44" t="b">
        <v>0</v>
      </c>
      <c r="N44" t="s">
        <v>20</v>
      </c>
    </row>
    <row r="45" spans="1:14" x14ac:dyDescent="0.2">
      <c r="A45" s="1" t="s">
        <v>25</v>
      </c>
      <c r="B45">
        <v>62</v>
      </c>
      <c r="C45" s="2">
        <v>44762</v>
      </c>
      <c r="D45" t="s">
        <v>54</v>
      </c>
      <c r="E45" t="s">
        <v>23</v>
      </c>
      <c r="F45" t="s">
        <v>21</v>
      </c>
      <c r="G45" t="s">
        <v>55</v>
      </c>
      <c r="H45">
        <v>0</v>
      </c>
      <c r="I45">
        <v>0</v>
      </c>
      <c r="J45">
        <v>0</v>
      </c>
      <c r="K45" s="3">
        <v>2.52251131136113E-6</v>
      </c>
      <c r="L45">
        <v>0</v>
      </c>
      <c r="M45" t="b">
        <v>0</v>
      </c>
      <c r="N45" t="s">
        <v>20</v>
      </c>
    </row>
    <row r="46" spans="1:14" x14ac:dyDescent="0.2">
      <c r="A46" s="1" t="s">
        <v>25</v>
      </c>
      <c r="B46">
        <v>62</v>
      </c>
      <c r="C46" s="2">
        <v>44762</v>
      </c>
      <c r="D46" t="s">
        <v>54</v>
      </c>
      <c r="E46" t="s">
        <v>23</v>
      </c>
      <c r="F46" t="s">
        <v>22</v>
      </c>
      <c r="G46" t="s">
        <v>55</v>
      </c>
      <c r="H46">
        <v>0</v>
      </c>
      <c r="I46">
        <v>0</v>
      </c>
      <c r="J46">
        <v>0</v>
      </c>
      <c r="K46" s="3">
        <v>2.5225113113611298E-5</v>
      </c>
      <c r="L46">
        <v>0</v>
      </c>
      <c r="M46" t="b">
        <v>0</v>
      </c>
      <c r="N46" t="s">
        <v>20</v>
      </c>
    </row>
    <row r="47" spans="1:14" x14ac:dyDescent="0.2">
      <c r="A47" s="1" t="s">
        <v>15</v>
      </c>
      <c r="B47">
        <v>41</v>
      </c>
      <c r="C47" s="2">
        <v>44736</v>
      </c>
      <c r="D47" t="s">
        <v>56</v>
      </c>
      <c r="E47" t="s">
        <v>17</v>
      </c>
      <c r="F47" t="s">
        <v>18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b">
        <v>0</v>
      </c>
      <c r="N47" t="s">
        <v>20</v>
      </c>
    </row>
    <row r="48" spans="1:14" x14ac:dyDescent="0.2">
      <c r="A48" s="1" t="s">
        <v>15</v>
      </c>
      <c r="B48">
        <v>41</v>
      </c>
      <c r="C48" s="2">
        <v>44736</v>
      </c>
      <c r="D48" t="s">
        <v>56</v>
      </c>
      <c r="E48" t="s">
        <v>17</v>
      </c>
      <c r="F48" t="s">
        <v>21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b">
        <v>0</v>
      </c>
      <c r="N48" t="s">
        <v>20</v>
      </c>
    </row>
    <row r="49" spans="1:14" x14ac:dyDescent="0.2">
      <c r="A49" s="1" t="s">
        <v>15</v>
      </c>
      <c r="B49">
        <v>41</v>
      </c>
      <c r="C49" s="2">
        <v>44736</v>
      </c>
      <c r="D49" t="s">
        <v>56</v>
      </c>
      <c r="E49" t="s">
        <v>17</v>
      </c>
      <c r="F49" t="s">
        <v>22</v>
      </c>
      <c r="G49" t="s">
        <v>57</v>
      </c>
      <c r="H49">
        <v>0</v>
      </c>
      <c r="I49">
        <v>0</v>
      </c>
      <c r="J49">
        <v>0</v>
      </c>
      <c r="K49" s="3">
        <v>2.6427666595605601E-5</v>
      </c>
      <c r="L49">
        <v>0</v>
      </c>
      <c r="M49" t="b">
        <v>0</v>
      </c>
      <c r="N49" t="s">
        <v>20</v>
      </c>
    </row>
    <row r="50" spans="1:14" x14ac:dyDescent="0.2">
      <c r="A50" s="1" t="s">
        <v>15</v>
      </c>
      <c r="B50">
        <v>41</v>
      </c>
      <c r="C50" s="2">
        <v>44736</v>
      </c>
      <c r="D50" t="s">
        <v>58</v>
      </c>
      <c r="E50" t="s">
        <v>23</v>
      </c>
      <c r="F50" t="s">
        <v>18</v>
      </c>
      <c r="G50" t="s">
        <v>59</v>
      </c>
      <c r="H50">
        <v>0</v>
      </c>
      <c r="I50">
        <v>0</v>
      </c>
      <c r="J50">
        <v>0</v>
      </c>
      <c r="K50">
        <v>0</v>
      </c>
      <c r="L50">
        <v>0</v>
      </c>
      <c r="M50" t="b">
        <v>0</v>
      </c>
      <c r="N50" t="s">
        <v>20</v>
      </c>
    </row>
    <row r="51" spans="1:14" x14ac:dyDescent="0.2">
      <c r="A51" s="1" t="s">
        <v>15</v>
      </c>
      <c r="B51">
        <v>41</v>
      </c>
      <c r="C51" s="2">
        <v>44736</v>
      </c>
      <c r="D51" t="s">
        <v>58</v>
      </c>
      <c r="E51" t="s">
        <v>23</v>
      </c>
      <c r="F51" t="s">
        <v>21</v>
      </c>
      <c r="G51" t="s">
        <v>59</v>
      </c>
      <c r="H51">
        <v>0</v>
      </c>
      <c r="I51">
        <v>0</v>
      </c>
      <c r="J51">
        <v>0</v>
      </c>
      <c r="K51">
        <v>0</v>
      </c>
      <c r="L51">
        <v>0</v>
      </c>
      <c r="M51" t="b">
        <v>0</v>
      </c>
      <c r="N51" t="s">
        <v>20</v>
      </c>
    </row>
    <row r="52" spans="1:14" x14ac:dyDescent="0.2">
      <c r="A52" s="1" t="s">
        <v>15</v>
      </c>
      <c r="B52">
        <v>41</v>
      </c>
      <c r="C52" s="2">
        <v>44736</v>
      </c>
      <c r="D52" t="s">
        <v>58</v>
      </c>
      <c r="E52" t="s">
        <v>23</v>
      </c>
      <c r="F52" t="s">
        <v>22</v>
      </c>
      <c r="G52" t="s">
        <v>59</v>
      </c>
      <c r="H52">
        <v>0</v>
      </c>
      <c r="I52">
        <v>0</v>
      </c>
      <c r="J52">
        <v>0</v>
      </c>
      <c r="K52" s="3">
        <v>2.5589169298796999E-5</v>
      </c>
      <c r="L52">
        <v>0</v>
      </c>
      <c r="M52" t="b">
        <v>0</v>
      </c>
      <c r="N52" t="s">
        <v>20</v>
      </c>
    </row>
    <row r="53" spans="1:14" x14ac:dyDescent="0.2">
      <c r="A53" s="1" t="s">
        <v>25</v>
      </c>
      <c r="B53">
        <v>61</v>
      </c>
      <c r="C53" s="2">
        <v>44761</v>
      </c>
      <c r="D53" t="s">
        <v>60</v>
      </c>
      <c r="E53" t="s">
        <v>17</v>
      </c>
      <c r="F53" t="s">
        <v>18</v>
      </c>
      <c r="G53" t="s">
        <v>61</v>
      </c>
      <c r="H53">
        <v>0</v>
      </c>
      <c r="I53">
        <v>0</v>
      </c>
      <c r="J53">
        <v>0</v>
      </c>
      <c r="K53">
        <v>0</v>
      </c>
      <c r="L53">
        <v>0</v>
      </c>
      <c r="M53" t="b">
        <v>0</v>
      </c>
      <c r="N53" t="s">
        <v>20</v>
      </c>
    </row>
    <row r="54" spans="1:14" x14ac:dyDescent="0.2">
      <c r="A54" s="1" t="s">
        <v>25</v>
      </c>
      <c r="B54">
        <v>61</v>
      </c>
      <c r="C54" s="2">
        <v>44761</v>
      </c>
      <c r="D54" t="s">
        <v>60</v>
      </c>
      <c r="E54" t="s">
        <v>17</v>
      </c>
      <c r="F54" t="s">
        <v>21</v>
      </c>
      <c r="G54" t="s">
        <v>61</v>
      </c>
      <c r="H54">
        <v>0</v>
      </c>
      <c r="I54">
        <v>0</v>
      </c>
      <c r="J54">
        <v>0</v>
      </c>
      <c r="K54">
        <v>0</v>
      </c>
      <c r="L54">
        <v>0</v>
      </c>
      <c r="M54" t="b">
        <v>0</v>
      </c>
      <c r="N54" t="s">
        <v>20</v>
      </c>
    </row>
    <row r="55" spans="1:14" x14ac:dyDescent="0.2">
      <c r="A55" s="1" t="s">
        <v>25</v>
      </c>
      <c r="B55">
        <v>61</v>
      </c>
      <c r="C55" s="2">
        <v>44761</v>
      </c>
      <c r="D55" t="s">
        <v>60</v>
      </c>
      <c r="E55" t="s">
        <v>17</v>
      </c>
      <c r="F55" t="s">
        <v>22</v>
      </c>
      <c r="G55" t="s">
        <v>61</v>
      </c>
      <c r="H55">
        <v>0</v>
      </c>
      <c r="I55">
        <v>0</v>
      </c>
      <c r="J55">
        <v>0</v>
      </c>
      <c r="K55" s="3">
        <v>2.52558842000872E-5</v>
      </c>
      <c r="L55">
        <v>0</v>
      </c>
      <c r="M55" t="b">
        <v>0</v>
      </c>
      <c r="N55" t="s">
        <v>20</v>
      </c>
    </row>
    <row r="56" spans="1:14" x14ac:dyDescent="0.2">
      <c r="A56" s="1" t="s">
        <v>25</v>
      </c>
      <c r="B56">
        <v>61</v>
      </c>
      <c r="C56" s="2">
        <v>44761</v>
      </c>
      <c r="D56" t="s">
        <v>62</v>
      </c>
      <c r="E56" t="s">
        <v>23</v>
      </c>
      <c r="F56" t="s">
        <v>18</v>
      </c>
      <c r="G56" t="s">
        <v>63</v>
      </c>
      <c r="H56">
        <v>0</v>
      </c>
      <c r="I56">
        <v>0</v>
      </c>
      <c r="J56">
        <v>0</v>
      </c>
      <c r="K56">
        <v>0</v>
      </c>
      <c r="L56">
        <v>0</v>
      </c>
      <c r="M56" t="b">
        <v>0</v>
      </c>
      <c r="N56" t="s">
        <v>20</v>
      </c>
    </row>
    <row r="57" spans="1:14" x14ac:dyDescent="0.2">
      <c r="A57" s="1" t="s">
        <v>25</v>
      </c>
      <c r="B57">
        <v>61</v>
      </c>
      <c r="C57" s="2">
        <v>44761</v>
      </c>
      <c r="D57" t="s">
        <v>62</v>
      </c>
      <c r="E57" t="s">
        <v>23</v>
      </c>
      <c r="F57" t="s">
        <v>21</v>
      </c>
      <c r="G57" t="s">
        <v>63</v>
      </c>
      <c r="H57">
        <v>0</v>
      </c>
      <c r="I57">
        <v>0</v>
      </c>
      <c r="J57">
        <v>0</v>
      </c>
      <c r="K57">
        <v>0</v>
      </c>
      <c r="L57">
        <v>0</v>
      </c>
      <c r="M57" t="b">
        <v>0</v>
      </c>
      <c r="N57" t="s">
        <v>20</v>
      </c>
    </row>
    <row r="58" spans="1:14" x14ac:dyDescent="0.2">
      <c r="A58" s="1" t="s">
        <v>25</v>
      </c>
      <c r="B58">
        <v>61</v>
      </c>
      <c r="C58" s="2">
        <v>44761</v>
      </c>
      <c r="D58" t="s">
        <v>62</v>
      </c>
      <c r="E58" t="s">
        <v>23</v>
      </c>
      <c r="F58" t="s">
        <v>22</v>
      </c>
      <c r="G58" t="s">
        <v>63</v>
      </c>
      <c r="H58">
        <v>0</v>
      </c>
      <c r="I58">
        <v>0</v>
      </c>
      <c r="J58">
        <v>0</v>
      </c>
      <c r="K58" s="3">
        <v>2.5160545245789101E-5</v>
      </c>
      <c r="L58">
        <v>0</v>
      </c>
      <c r="M58" t="b">
        <v>0</v>
      </c>
      <c r="N58" t="s">
        <v>20</v>
      </c>
    </row>
    <row r="59" spans="1:14" x14ac:dyDescent="0.2">
      <c r="A59" s="1" t="s">
        <v>64</v>
      </c>
      <c r="B59">
        <v>32</v>
      </c>
      <c r="C59" s="2">
        <v>44685</v>
      </c>
      <c r="D59" t="s">
        <v>65</v>
      </c>
      <c r="E59" t="s">
        <v>17</v>
      </c>
      <c r="F59" t="s">
        <v>18</v>
      </c>
      <c r="G59" t="s">
        <v>66</v>
      </c>
      <c r="H59">
        <v>2.9807632173649901E-3</v>
      </c>
      <c r="I59">
        <v>0</v>
      </c>
      <c r="J59">
        <v>0</v>
      </c>
      <c r="K59">
        <v>0</v>
      </c>
      <c r="L59">
        <v>0</v>
      </c>
      <c r="M59" t="b">
        <v>0</v>
      </c>
      <c r="N59" t="s">
        <v>20</v>
      </c>
    </row>
    <row r="60" spans="1:14" x14ac:dyDescent="0.2">
      <c r="A60" s="1" t="s">
        <v>64</v>
      </c>
      <c r="B60">
        <v>32</v>
      </c>
      <c r="C60" s="2">
        <v>44685</v>
      </c>
      <c r="D60" t="s">
        <v>65</v>
      </c>
      <c r="E60" t="s">
        <v>17</v>
      </c>
      <c r="F60" t="s">
        <v>21</v>
      </c>
      <c r="G60" t="s">
        <v>66</v>
      </c>
      <c r="H60">
        <v>2.9807632173649901E-3</v>
      </c>
      <c r="I60">
        <v>0</v>
      </c>
      <c r="J60">
        <v>0</v>
      </c>
      <c r="K60" s="3">
        <v>1.43671603899078E-5</v>
      </c>
      <c r="L60">
        <v>0</v>
      </c>
      <c r="M60" t="b">
        <v>0</v>
      </c>
      <c r="N60" t="s">
        <v>20</v>
      </c>
    </row>
    <row r="61" spans="1:14" x14ac:dyDescent="0.2">
      <c r="A61" s="1" t="s">
        <v>64</v>
      </c>
      <c r="B61">
        <v>32</v>
      </c>
      <c r="C61" s="2">
        <v>44685</v>
      </c>
      <c r="D61" t="s">
        <v>65</v>
      </c>
      <c r="E61" t="s">
        <v>17</v>
      </c>
      <c r="F61" t="s">
        <v>22</v>
      </c>
      <c r="G61" t="s">
        <v>66</v>
      </c>
      <c r="H61">
        <v>2.9807632173649901E-3</v>
      </c>
      <c r="I61">
        <v>0</v>
      </c>
      <c r="J61">
        <v>0</v>
      </c>
      <c r="K61" s="3">
        <v>2.5353812452778501E-5</v>
      </c>
      <c r="L61">
        <v>0</v>
      </c>
      <c r="M61" t="b">
        <v>0</v>
      </c>
      <c r="N61" t="s">
        <v>20</v>
      </c>
    </row>
    <row r="62" spans="1:14" x14ac:dyDescent="0.2">
      <c r="A62" s="1" t="s">
        <v>64</v>
      </c>
      <c r="B62">
        <v>32</v>
      </c>
      <c r="C62" s="2">
        <v>44685</v>
      </c>
      <c r="D62" t="s">
        <v>67</v>
      </c>
      <c r="E62" t="s">
        <v>23</v>
      </c>
      <c r="F62" t="s">
        <v>18</v>
      </c>
      <c r="G62" t="s">
        <v>68</v>
      </c>
      <c r="H62" s="3">
        <v>8.5937851368523901E-3</v>
      </c>
      <c r="I62">
        <v>0</v>
      </c>
      <c r="J62">
        <v>0</v>
      </c>
      <c r="K62">
        <v>0</v>
      </c>
      <c r="L62">
        <v>0</v>
      </c>
      <c r="M62" t="b">
        <v>0</v>
      </c>
      <c r="N62" t="s">
        <v>20</v>
      </c>
    </row>
    <row r="63" spans="1:14" x14ac:dyDescent="0.2">
      <c r="A63" s="1" t="s">
        <v>64</v>
      </c>
      <c r="B63">
        <v>32</v>
      </c>
      <c r="C63" s="2">
        <v>44685</v>
      </c>
      <c r="D63" t="s">
        <v>67</v>
      </c>
      <c r="E63" t="s">
        <v>23</v>
      </c>
      <c r="F63" t="s">
        <v>21</v>
      </c>
      <c r="G63" t="s">
        <v>68</v>
      </c>
      <c r="H63">
        <v>8.5937851368523901E-3</v>
      </c>
      <c r="I63">
        <v>0</v>
      </c>
      <c r="J63">
        <v>0</v>
      </c>
      <c r="K63">
        <v>0</v>
      </c>
      <c r="L63">
        <v>0</v>
      </c>
      <c r="M63" t="b">
        <v>0</v>
      </c>
      <c r="N63" t="s">
        <v>20</v>
      </c>
    </row>
    <row r="64" spans="1:14" x14ac:dyDescent="0.2">
      <c r="A64" s="1" t="s">
        <v>64</v>
      </c>
      <c r="B64">
        <v>32</v>
      </c>
      <c r="C64" s="2">
        <v>44685</v>
      </c>
      <c r="D64" t="s">
        <v>67</v>
      </c>
      <c r="E64" t="s">
        <v>23</v>
      </c>
      <c r="F64" t="s">
        <v>22</v>
      </c>
      <c r="G64" t="s">
        <v>68</v>
      </c>
      <c r="H64" s="3">
        <v>8.5937851368523901E-3</v>
      </c>
      <c r="I64">
        <v>0</v>
      </c>
      <c r="J64">
        <v>0</v>
      </c>
      <c r="K64" s="3">
        <v>2.6455982976456799E-5</v>
      </c>
      <c r="L64">
        <v>0</v>
      </c>
      <c r="M64" t="b">
        <v>0</v>
      </c>
      <c r="N64" t="s">
        <v>20</v>
      </c>
    </row>
    <row r="65" spans="1:14" x14ac:dyDescent="0.2">
      <c r="A65" s="1" t="s">
        <v>39</v>
      </c>
      <c r="B65">
        <v>48</v>
      </c>
      <c r="C65" s="2">
        <v>44749</v>
      </c>
      <c r="D65" t="s">
        <v>69</v>
      </c>
      <c r="E65" t="s">
        <v>17</v>
      </c>
      <c r="F65" t="s">
        <v>18</v>
      </c>
      <c r="G65" t="s">
        <v>70</v>
      </c>
      <c r="H65">
        <v>8.6806065678778901E-4</v>
      </c>
      <c r="I65">
        <v>0</v>
      </c>
      <c r="J65">
        <v>0</v>
      </c>
      <c r="K65" s="3">
        <v>2.5185512285912599E-6</v>
      </c>
      <c r="L65">
        <v>0</v>
      </c>
      <c r="M65" t="b">
        <v>0</v>
      </c>
      <c r="N65" t="s">
        <v>20</v>
      </c>
    </row>
    <row r="66" spans="1:14" x14ac:dyDescent="0.2">
      <c r="A66" s="1" t="s">
        <v>39</v>
      </c>
      <c r="B66">
        <v>48</v>
      </c>
      <c r="C66" s="2">
        <v>44749</v>
      </c>
      <c r="D66" t="s">
        <v>69</v>
      </c>
      <c r="E66" t="s">
        <v>17</v>
      </c>
      <c r="F66" t="s">
        <v>21</v>
      </c>
      <c r="G66" t="s">
        <v>70</v>
      </c>
      <c r="H66" s="3">
        <v>8.6806065678778901E-4</v>
      </c>
      <c r="I66">
        <v>0</v>
      </c>
      <c r="J66">
        <v>0</v>
      </c>
      <c r="K66" s="3">
        <v>8.39517076197088E-6</v>
      </c>
      <c r="L66">
        <v>0</v>
      </c>
      <c r="M66" t="b">
        <v>0</v>
      </c>
      <c r="N66" t="s">
        <v>20</v>
      </c>
    </row>
    <row r="67" spans="1:14" x14ac:dyDescent="0.2">
      <c r="A67" s="1" t="s">
        <v>39</v>
      </c>
      <c r="B67">
        <v>48</v>
      </c>
      <c r="C67" s="2">
        <v>44749</v>
      </c>
      <c r="D67" t="s">
        <v>69</v>
      </c>
      <c r="E67" t="s">
        <v>17</v>
      </c>
      <c r="F67" t="s">
        <v>22</v>
      </c>
      <c r="G67" t="s">
        <v>70</v>
      </c>
      <c r="H67">
        <v>8.6806065678778901E-4</v>
      </c>
      <c r="I67">
        <v>0</v>
      </c>
      <c r="J67">
        <v>0</v>
      </c>
      <c r="K67" s="3">
        <v>2.26669610573213E-5</v>
      </c>
      <c r="L67">
        <v>0</v>
      </c>
      <c r="M67" t="b">
        <v>0</v>
      </c>
      <c r="N67" t="s">
        <v>20</v>
      </c>
    </row>
    <row r="68" spans="1:14" x14ac:dyDescent="0.2">
      <c r="A68" s="1" t="s">
        <v>39</v>
      </c>
      <c r="B68">
        <v>48</v>
      </c>
      <c r="C68" s="2">
        <v>44749</v>
      </c>
      <c r="D68" t="s">
        <v>71</v>
      </c>
      <c r="E68" t="s">
        <v>23</v>
      </c>
      <c r="F68" t="s">
        <v>18</v>
      </c>
      <c r="G68" t="s">
        <v>72</v>
      </c>
      <c r="H68">
        <v>1.8445002685949E-3</v>
      </c>
      <c r="I68">
        <v>0</v>
      </c>
      <c r="J68">
        <v>0</v>
      </c>
      <c r="K68" s="3">
        <v>3.3435050186010301E-6</v>
      </c>
      <c r="L68">
        <v>0</v>
      </c>
      <c r="M68" t="b">
        <v>0</v>
      </c>
      <c r="N68" t="s">
        <v>20</v>
      </c>
    </row>
    <row r="69" spans="1:14" x14ac:dyDescent="0.2">
      <c r="A69" s="1" t="s">
        <v>39</v>
      </c>
      <c r="B69">
        <v>48</v>
      </c>
      <c r="C69" s="2">
        <v>44749</v>
      </c>
      <c r="D69" t="s">
        <v>71</v>
      </c>
      <c r="E69" t="s">
        <v>23</v>
      </c>
      <c r="F69" t="s">
        <v>21</v>
      </c>
      <c r="G69" t="s">
        <v>72</v>
      </c>
      <c r="H69">
        <v>1.8445002685949E-3</v>
      </c>
      <c r="I69">
        <v>0</v>
      </c>
      <c r="J69">
        <v>0</v>
      </c>
      <c r="K69">
        <v>0</v>
      </c>
      <c r="L69">
        <v>0</v>
      </c>
      <c r="M69" t="b">
        <v>0</v>
      </c>
      <c r="N69" t="s">
        <v>20</v>
      </c>
    </row>
    <row r="70" spans="1:14" x14ac:dyDescent="0.2">
      <c r="A70" s="1" t="s">
        <v>39</v>
      </c>
      <c r="B70">
        <v>48</v>
      </c>
      <c r="C70" s="2">
        <v>44749</v>
      </c>
      <c r="D70" t="s">
        <v>71</v>
      </c>
      <c r="E70" t="s">
        <v>23</v>
      </c>
      <c r="F70" t="s">
        <v>22</v>
      </c>
      <c r="G70" t="s">
        <v>72</v>
      </c>
      <c r="H70">
        <v>1.8445002685949E-3</v>
      </c>
      <c r="I70">
        <v>0</v>
      </c>
      <c r="J70">
        <v>0</v>
      </c>
      <c r="K70" s="3">
        <v>3.3435050186010303E-5</v>
      </c>
      <c r="L70">
        <v>0</v>
      </c>
      <c r="M70" t="b">
        <v>0</v>
      </c>
      <c r="N70" t="s">
        <v>20</v>
      </c>
    </row>
    <row r="71" spans="1:14" x14ac:dyDescent="0.2">
      <c r="A71" s="1" t="s">
        <v>15</v>
      </c>
      <c r="B71">
        <v>40</v>
      </c>
      <c r="C71" s="2">
        <v>44733</v>
      </c>
      <c r="D71" t="s">
        <v>73</v>
      </c>
      <c r="E71" t="s">
        <v>17</v>
      </c>
      <c r="F71" t="s">
        <v>18</v>
      </c>
      <c r="G71" t="s">
        <v>74</v>
      </c>
      <c r="H71">
        <v>0</v>
      </c>
      <c r="I71">
        <v>0</v>
      </c>
      <c r="J71">
        <v>0</v>
      </c>
      <c r="K71" s="3">
        <v>2.61753609582276E-6</v>
      </c>
      <c r="L71">
        <v>0</v>
      </c>
      <c r="M71" t="b">
        <v>0</v>
      </c>
      <c r="N71" t="s">
        <v>20</v>
      </c>
    </row>
    <row r="72" spans="1:14" x14ac:dyDescent="0.2">
      <c r="A72" s="1" t="s">
        <v>15</v>
      </c>
      <c r="B72">
        <v>40</v>
      </c>
      <c r="C72" s="2">
        <v>44733</v>
      </c>
      <c r="D72" t="s">
        <v>73</v>
      </c>
      <c r="E72" t="s">
        <v>17</v>
      </c>
      <c r="F72" t="s">
        <v>21</v>
      </c>
      <c r="G72" t="s">
        <v>74</v>
      </c>
      <c r="H72">
        <v>0</v>
      </c>
      <c r="I72">
        <v>0</v>
      </c>
      <c r="J72">
        <v>0</v>
      </c>
      <c r="K72" s="3">
        <v>2.61753609582276E-6</v>
      </c>
      <c r="L72">
        <v>0</v>
      </c>
      <c r="M72" t="b">
        <v>0</v>
      </c>
      <c r="N72" t="s">
        <v>20</v>
      </c>
    </row>
    <row r="73" spans="1:14" x14ac:dyDescent="0.2">
      <c r="A73" s="1" t="s">
        <v>15</v>
      </c>
      <c r="B73">
        <v>40</v>
      </c>
      <c r="C73" s="2">
        <v>44733</v>
      </c>
      <c r="D73" t="s">
        <v>73</v>
      </c>
      <c r="E73" t="s">
        <v>17</v>
      </c>
      <c r="F73" t="s">
        <v>22</v>
      </c>
      <c r="G73" t="s">
        <v>74</v>
      </c>
      <c r="H73">
        <v>0</v>
      </c>
      <c r="I73">
        <v>0</v>
      </c>
      <c r="J73">
        <v>0</v>
      </c>
      <c r="K73" s="3">
        <v>2.6175360958227601E-5</v>
      </c>
      <c r="L73">
        <v>0</v>
      </c>
      <c r="M73" t="b">
        <v>0</v>
      </c>
      <c r="N73" t="s">
        <v>20</v>
      </c>
    </row>
    <row r="74" spans="1:14" x14ac:dyDescent="0.2">
      <c r="A74" s="1" t="s">
        <v>15</v>
      </c>
      <c r="B74">
        <v>40</v>
      </c>
      <c r="C74" s="2">
        <v>44733</v>
      </c>
      <c r="D74" t="s">
        <v>75</v>
      </c>
      <c r="E74" t="s">
        <v>23</v>
      </c>
      <c r="F74" t="s">
        <v>18</v>
      </c>
      <c r="G74" t="s">
        <v>76</v>
      </c>
      <c r="H74">
        <v>2.8938755801164199E-3</v>
      </c>
      <c r="I74">
        <v>0</v>
      </c>
      <c r="J74">
        <v>0</v>
      </c>
      <c r="K74" s="3">
        <v>2.5149556026504198E-6</v>
      </c>
      <c r="L74">
        <v>0</v>
      </c>
      <c r="M74" t="b">
        <v>0</v>
      </c>
      <c r="N74" t="s">
        <v>20</v>
      </c>
    </row>
    <row r="75" spans="1:14" x14ac:dyDescent="0.2">
      <c r="A75" s="1" t="s">
        <v>15</v>
      </c>
      <c r="B75">
        <v>40</v>
      </c>
      <c r="C75" s="2">
        <v>44733</v>
      </c>
      <c r="D75" t="s">
        <v>75</v>
      </c>
      <c r="E75" t="s">
        <v>23</v>
      </c>
      <c r="F75" t="s">
        <v>21</v>
      </c>
      <c r="G75" t="s">
        <v>76</v>
      </c>
      <c r="H75">
        <v>2.8938755801164199E-3</v>
      </c>
      <c r="I75">
        <v>0</v>
      </c>
      <c r="J75">
        <v>0</v>
      </c>
      <c r="K75" s="3">
        <v>2.5149556026504198E-6</v>
      </c>
      <c r="L75">
        <v>0</v>
      </c>
      <c r="M75" t="b">
        <v>0</v>
      </c>
      <c r="N75" t="s">
        <v>20</v>
      </c>
    </row>
    <row r="76" spans="1:14" x14ac:dyDescent="0.2">
      <c r="A76" s="1" t="s">
        <v>15</v>
      </c>
      <c r="B76">
        <v>40</v>
      </c>
      <c r="C76" s="2">
        <v>44733</v>
      </c>
      <c r="D76" t="s">
        <v>75</v>
      </c>
      <c r="E76" t="s">
        <v>23</v>
      </c>
      <c r="F76" t="s">
        <v>22</v>
      </c>
      <c r="G76" t="s">
        <v>76</v>
      </c>
      <c r="H76">
        <v>2.8938755801164199E-3</v>
      </c>
      <c r="I76">
        <v>0</v>
      </c>
      <c r="J76">
        <v>0</v>
      </c>
      <c r="K76" s="3">
        <v>2.2634600423853801E-5</v>
      </c>
      <c r="L76">
        <v>0</v>
      </c>
      <c r="M76" t="b">
        <v>0</v>
      </c>
      <c r="N76" t="s">
        <v>20</v>
      </c>
    </row>
    <row r="77" spans="1:14" x14ac:dyDescent="0.2">
      <c r="A77" s="1" t="s">
        <v>25</v>
      </c>
      <c r="B77">
        <v>58</v>
      </c>
      <c r="C77" s="2">
        <v>44761</v>
      </c>
      <c r="D77" t="s">
        <v>77</v>
      </c>
      <c r="E77" t="s">
        <v>17</v>
      </c>
      <c r="F77" t="s">
        <v>18</v>
      </c>
      <c r="G77" t="s">
        <v>78</v>
      </c>
      <c r="H77">
        <v>0</v>
      </c>
      <c r="I77">
        <v>0</v>
      </c>
      <c r="J77">
        <v>0</v>
      </c>
      <c r="K77">
        <v>0</v>
      </c>
      <c r="L77">
        <v>0</v>
      </c>
      <c r="M77" t="b">
        <v>0</v>
      </c>
      <c r="N77" t="s">
        <v>20</v>
      </c>
    </row>
    <row r="78" spans="1:14" x14ac:dyDescent="0.2">
      <c r="A78" s="1" t="s">
        <v>25</v>
      </c>
      <c r="B78">
        <v>58</v>
      </c>
      <c r="C78" s="2">
        <v>44761</v>
      </c>
      <c r="D78" t="s">
        <v>77</v>
      </c>
      <c r="E78" t="s">
        <v>17</v>
      </c>
      <c r="F78" t="s">
        <v>21</v>
      </c>
      <c r="G78" t="s">
        <v>78</v>
      </c>
      <c r="H78">
        <v>0</v>
      </c>
      <c r="I78">
        <v>0</v>
      </c>
      <c r="J78">
        <v>0</v>
      </c>
      <c r="K78" s="3">
        <v>2.28809487288785E-5</v>
      </c>
      <c r="L78">
        <v>0</v>
      </c>
      <c r="M78" t="b">
        <v>0</v>
      </c>
      <c r="N78" t="s">
        <v>20</v>
      </c>
    </row>
    <row r="79" spans="1:14" x14ac:dyDescent="0.2">
      <c r="A79" s="1" t="s">
        <v>25</v>
      </c>
      <c r="B79">
        <v>58</v>
      </c>
      <c r="C79" s="2">
        <v>44761</v>
      </c>
      <c r="D79" t="s">
        <v>77</v>
      </c>
      <c r="E79" t="s">
        <v>17</v>
      </c>
      <c r="F79" t="s">
        <v>22</v>
      </c>
      <c r="G79" t="s">
        <v>78</v>
      </c>
      <c r="H79">
        <v>0</v>
      </c>
      <c r="I79">
        <v>0</v>
      </c>
      <c r="J79">
        <v>0</v>
      </c>
      <c r="K79" s="3">
        <v>4.2372127275700997E-6</v>
      </c>
      <c r="L79">
        <v>0</v>
      </c>
      <c r="M79" t="b">
        <v>0</v>
      </c>
      <c r="N79" t="s">
        <v>20</v>
      </c>
    </row>
    <row r="80" spans="1:14" x14ac:dyDescent="0.2">
      <c r="A80" s="1" t="s">
        <v>25</v>
      </c>
      <c r="B80">
        <v>58</v>
      </c>
      <c r="C80" s="2">
        <v>44761</v>
      </c>
      <c r="D80" t="s">
        <v>79</v>
      </c>
      <c r="E80" t="s">
        <v>23</v>
      </c>
      <c r="F80" t="s">
        <v>18</v>
      </c>
      <c r="G80" t="s">
        <v>80</v>
      </c>
      <c r="H80">
        <v>8.1654418503890997E-4</v>
      </c>
      <c r="I80">
        <v>0</v>
      </c>
      <c r="J80">
        <v>0</v>
      </c>
      <c r="K80">
        <v>0</v>
      </c>
      <c r="L80">
        <v>0</v>
      </c>
      <c r="M80" t="b">
        <v>0</v>
      </c>
      <c r="N80" t="s">
        <v>20</v>
      </c>
    </row>
    <row r="81" spans="1:14" x14ac:dyDescent="0.2">
      <c r="A81" s="1" t="s">
        <v>25</v>
      </c>
      <c r="B81">
        <v>58</v>
      </c>
      <c r="C81" s="2">
        <v>44761</v>
      </c>
      <c r="D81" t="s">
        <v>79</v>
      </c>
      <c r="E81" t="s">
        <v>23</v>
      </c>
      <c r="F81" t="s">
        <v>21</v>
      </c>
      <c r="G81" t="s">
        <v>80</v>
      </c>
      <c r="H81">
        <v>8.1654418503890997E-4</v>
      </c>
      <c r="I81">
        <v>0</v>
      </c>
      <c r="J81">
        <v>0</v>
      </c>
      <c r="K81">
        <v>0</v>
      </c>
      <c r="L81">
        <v>0</v>
      </c>
      <c r="M81" t="b">
        <v>0</v>
      </c>
      <c r="N81" t="s">
        <v>20</v>
      </c>
    </row>
    <row r="82" spans="1:14" x14ac:dyDescent="0.2">
      <c r="A82" s="1" t="s">
        <v>25</v>
      </c>
      <c r="B82">
        <v>58</v>
      </c>
      <c r="C82" s="2">
        <v>44761</v>
      </c>
      <c r="D82" t="s">
        <v>79</v>
      </c>
      <c r="E82" t="s">
        <v>23</v>
      </c>
      <c r="F82" t="s">
        <v>22</v>
      </c>
      <c r="G82" t="s">
        <v>80</v>
      </c>
      <c r="H82">
        <v>8.1654418503890997E-4</v>
      </c>
      <c r="I82">
        <v>0</v>
      </c>
      <c r="J82">
        <v>0</v>
      </c>
      <c r="K82" s="3">
        <v>3.1245313203019499E-5</v>
      </c>
      <c r="L82">
        <v>0</v>
      </c>
      <c r="M82" t="b">
        <v>0</v>
      </c>
      <c r="N82" t="s">
        <v>20</v>
      </c>
    </row>
    <row r="83" spans="1:14" x14ac:dyDescent="0.2">
      <c r="A83" s="1" t="s">
        <v>39</v>
      </c>
      <c r="B83">
        <v>56</v>
      </c>
      <c r="C83" s="2">
        <v>44750</v>
      </c>
      <c r="D83" t="s">
        <v>81</v>
      </c>
      <c r="E83" t="s">
        <v>17</v>
      </c>
      <c r="F83" t="s">
        <v>18</v>
      </c>
      <c r="G83" t="s">
        <v>82</v>
      </c>
      <c r="H83">
        <v>0</v>
      </c>
      <c r="I83">
        <v>0</v>
      </c>
      <c r="J83">
        <v>0</v>
      </c>
      <c r="K83" s="3">
        <v>2.50382668177865E-6</v>
      </c>
      <c r="L83">
        <v>0</v>
      </c>
      <c r="M83" t="b">
        <v>0</v>
      </c>
      <c r="N83" t="s">
        <v>20</v>
      </c>
    </row>
    <row r="84" spans="1:14" x14ac:dyDescent="0.2">
      <c r="A84" s="1" t="s">
        <v>39</v>
      </c>
      <c r="B84">
        <v>56</v>
      </c>
      <c r="C84" s="2">
        <v>44750</v>
      </c>
      <c r="D84" t="s">
        <v>81</v>
      </c>
      <c r="E84" t="s">
        <v>17</v>
      </c>
      <c r="F84" t="s">
        <v>21</v>
      </c>
      <c r="G84" t="s">
        <v>82</v>
      </c>
      <c r="H84">
        <v>0</v>
      </c>
      <c r="I84">
        <v>0</v>
      </c>
      <c r="J84">
        <v>0</v>
      </c>
      <c r="K84">
        <v>0</v>
      </c>
      <c r="L84">
        <v>0</v>
      </c>
      <c r="M84" t="b">
        <v>0</v>
      </c>
      <c r="N84" t="s">
        <v>20</v>
      </c>
    </row>
    <row r="85" spans="1:14" x14ac:dyDescent="0.2">
      <c r="A85" s="1" t="s">
        <v>39</v>
      </c>
      <c r="B85">
        <v>56</v>
      </c>
      <c r="C85" s="2">
        <v>44750</v>
      </c>
      <c r="D85" t="s">
        <v>81</v>
      </c>
      <c r="E85" t="s">
        <v>17</v>
      </c>
      <c r="F85" t="s">
        <v>22</v>
      </c>
      <c r="G85" t="s">
        <v>82</v>
      </c>
      <c r="H85">
        <v>0</v>
      </c>
      <c r="I85">
        <v>0</v>
      </c>
      <c r="J85">
        <v>0</v>
      </c>
      <c r="K85" s="3">
        <v>2.50382668177865E-5</v>
      </c>
      <c r="L85">
        <v>0</v>
      </c>
      <c r="M85" t="b">
        <v>0</v>
      </c>
      <c r="N85" t="s">
        <v>20</v>
      </c>
    </row>
    <row r="86" spans="1:14" x14ac:dyDescent="0.2">
      <c r="A86" s="1" t="s">
        <v>39</v>
      </c>
      <c r="B86">
        <v>56</v>
      </c>
      <c r="C86" s="2">
        <v>44750</v>
      </c>
      <c r="D86" t="s">
        <v>83</v>
      </c>
      <c r="E86" t="s">
        <v>23</v>
      </c>
      <c r="F86" t="s">
        <v>18</v>
      </c>
      <c r="G86" t="s">
        <v>84</v>
      </c>
      <c r="H86" s="3">
        <v>0</v>
      </c>
      <c r="I86">
        <v>0</v>
      </c>
      <c r="J86">
        <v>0</v>
      </c>
      <c r="K86">
        <v>0</v>
      </c>
      <c r="L86">
        <v>0</v>
      </c>
      <c r="M86" t="b">
        <v>0</v>
      </c>
      <c r="N86" t="s">
        <v>20</v>
      </c>
    </row>
    <row r="87" spans="1:14" x14ac:dyDescent="0.2">
      <c r="A87" s="1" t="s">
        <v>39</v>
      </c>
      <c r="B87">
        <v>56</v>
      </c>
      <c r="C87" s="2">
        <v>44750</v>
      </c>
      <c r="D87" t="s">
        <v>83</v>
      </c>
      <c r="E87" t="s">
        <v>23</v>
      </c>
      <c r="F87" t="s">
        <v>21</v>
      </c>
      <c r="G87" t="s">
        <v>84</v>
      </c>
      <c r="H87" s="3">
        <v>0</v>
      </c>
      <c r="I87">
        <v>0</v>
      </c>
      <c r="J87">
        <v>0</v>
      </c>
      <c r="K87">
        <v>0</v>
      </c>
      <c r="L87">
        <v>0</v>
      </c>
      <c r="M87" t="b">
        <v>0</v>
      </c>
      <c r="N87" t="s">
        <v>20</v>
      </c>
    </row>
    <row r="88" spans="1:14" x14ac:dyDescent="0.2">
      <c r="A88" s="1" t="s">
        <v>39</v>
      </c>
      <c r="B88">
        <v>56</v>
      </c>
      <c r="C88" s="2">
        <v>44750</v>
      </c>
      <c r="D88" t="s">
        <v>83</v>
      </c>
      <c r="E88" t="s">
        <v>23</v>
      </c>
      <c r="F88" t="s">
        <v>22</v>
      </c>
      <c r="G88" t="s">
        <v>84</v>
      </c>
      <c r="H88" s="3">
        <v>0</v>
      </c>
      <c r="I88">
        <v>0</v>
      </c>
      <c r="J88">
        <v>0</v>
      </c>
      <c r="K88" s="3">
        <v>2.25677031093279E-5</v>
      </c>
      <c r="L88">
        <v>0</v>
      </c>
      <c r="M88" t="b">
        <v>0</v>
      </c>
      <c r="N88" t="s">
        <v>20</v>
      </c>
    </row>
    <row r="89" spans="1:14" x14ac:dyDescent="0.2">
      <c r="A89" s="1" t="s">
        <v>25</v>
      </c>
      <c r="B89">
        <v>65</v>
      </c>
      <c r="C89" s="2">
        <v>44761</v>
      </c>
      <c r="D89" t="s">
        <v>85</v>
      </c>
      <c r="E89" t="s">
        <v>17</v>
      </c>
      <c r="F89" t="s">
        <v>18</v>
      </c>
      <c r="G89" t="s">
        <v>86</v>
      </c>
      <c r="H89">
        <v>0</v>
      </c>
      <c r="I89">
        <v>0</v>
      </c>
      <c r="J89">
        <v>0</v>
      </c>
      <c r="K89">
        <v>0</v>
      </c>
      <c r="L89">
        <v>0</v>
      </c>
      <c r="M89" t="b">
        <v>0</v>
      </c>
      <c r="N89" t="s">
        <v>20</v>
      </c>
    </row>
    <row r="90" spans="1:14" x14ac:dyDescent="0.2">
      <c r="A90" s="1" t="s">
        <v>25</v>
      </c>
      <c r="B90">
        <v>65</v>
      </c>
      <c r="C90" s="2">
        <v>44761</v>
      </c>
      <c r="D90" t="s">
        <v>85</v>
      </c>
      <c r="E90" t="s">
        <v>17</v>
      </c>
      <c r="F90" t="s">
        <v>21</v>
      </c>
      <c r="G90" t="s">
        <v>86</v>
      </c>
      <c r="H90">
        <v>0</v>
      </c>
      <c r="I90">
        <v>0</v>
      </c>
      <c r="J90">
        <v>0</v>
      </c>
      <c r="K90" s="3">
        <v>2.5089779594649502E-6</v>
      </c>
      <c r="L90">
        <v>0</v>
      </c>
      <c r="M90" t="b">
        <v>0</v>
      </c>
      <c r="N90" t="s">
        <v>20</v>
      </c>
    </row>
    <row r="91" spans="1:14" x14ac:dyDescent="0.2">
      <c r="A91" s="1" t="s">
        <v>25</v>
      </c>
      <c r="B91">
        <v>65</v>
      </c>
      <c r="C91" s="2">
        <v>44761</v>
      </c>
      <c r="D91" t="s">
        <v>85</v>
      </c>
      <c r="E91" t="s">
        <v>17</v>
      </c>
      <c r="F91" t="s">
        <v>22</v>
      </c>
      <c r="G91" t="s">
        <v>86</v>
      </c>
      <c r="H91">
        <v>0</v>
      </c>
      <c r="I91">
        <v>0</v>
      </c>
      <c r="J91">
        <v>0</v>
      </c>
      <c r="K91" s="3">
        <v>2.50897795946495E-5</v>
      </c>
      <c r="L91">
        <v>0</v>
      </c>
      <c r="M91" t="b">
        <v>0</v>
      </c>
      <c r="N91" t="s">
        <v>20</v>
      </c>
    </row>
    <row r="92" spans="1:14" x14ac:dyDescent="0.2">
      <c r="A92" s="1" t="s">
        <v>25</v>
      </c>
      <c r="B92">
        <v>65</v>
      </c>
      <c r="C92" s="2">
        <v>44761</v>
      </c>
      <c r="D92" t="s">
        <v>85</v>
      </c>
      <c r="E92" t="s">
        <v>23</v>
      </c>
      <c r="F92" t="s">
        <v>18</v>
      </c>
      <c r="G92" t="s">
        <v>87</v>
      </c>
      <c r="H92">
        <v>2.6239810067368399E-3</v>
      </c>
      <c r="I92">
        <v>0</v>
      </c>
      <c r="J92">
        <v>0</v>
      </c>
      <c r="K92">
        <v>0</v>
      </c>
      <c r="L92">
        <v>0</v>
      </c>
      <c r="M92" t="b">
        <v>0</v>
      </c>
      <c r="N92" t="s">
        <v>20</v>
      </c>
    </row>
    <row r="93" spans="1:14" x14ac:dyDescent="0.2">
      <c r="A93" s="1" t="s">
        <v>25</v>
      </c>
      <c r="B93">
        <v>65</v>
      </c>
      <c r="C93" s="2">
        <v>44761</v>
      </c>
      <c r="D93" t="s">
        <v>85</v>
      </c>
      <c r="E93" t="s">
        <v>23</v>
      </c>
      <c r="F93" t="s">
        <v>21</v>
      </c>
      <c r="G93" t="s">
        <v>87</v>
      </c>
      <c r="H93">
        <v>2.6239810067368399E-3</v>
      </c>
      <c r="I93">
        <v>0</v>
      </c>
      <c r="J93">
        <v>0</v>
      </c>
      <c r="K93">
        <v>0</v>
      </c>
      <c r="L93">
        <v>0</v>
      </c>
      <c r="M93" t="b">
        <v>0</v>
      </c>
      <c r="N93" t="s">
        <v>20</v>
      </c>
    </row>
    <row r="94" spans="1:14" x14ac:dyDescent="0.2">
      <c r="A94" s="1" t="s">
        <v>25</v>
      </c>
      <c r="B94">
        <v>65</v>
      </c>
      <c r="C94" s="2">
        <v>44761</v>
      </c>
      <c r="D94" t="s">
        <v>85</v>
      </c>
      <c r="E94" t="s">
        <v>23</v>
      </c>
      <c r="F94" t="s">
        <v>22</v>
      </c>
      <c r="G94" t="s">
        <v>87</v>
      </c>
      <c r="H94">
        <v>2.6239810067368399E-3</v>
      </c>
      <c r="I94">
        <v>0</v>
      </c>
      <c r="J94">
        <v>0</v>
      </c>
      <c r="K94" s="3">
        <v>2.5149977700353101E-5</v>
      </c>
      <c r="L94">
        <v>0</v>
      </c>
      <c r="M94" t="b">
        <v>0</v>
      </c>
      <c r="N94" t="s">
        <v>20</v>
      </c>
    </row>
    <row r="95" spans="1:14" x14ac:dyDescent="0.2">
      <c r="A95" s="1" t="s">
        <v>25</v>
      </c>
      <c r="B95">
        <v>59</v>
      </c>
      <c r="C95" s="2">
        <v>44761</v>
      </c>
      <c r="D95" t="s">
        <v>88</v>
      </c>
      <c r="E95" t="s">
        <v>17</v>
      </c>
      <c r="F95" t="s">
        <v>18</v>
      </c>
      <c r="G95" t="s">
        <v>89</v>
      </c>
      <c r="H95">
        <v>0</v>
      </c>
      <c r="I95">
        <v>0</v>
      </c>
      <c r="J95">
        <v>0</v>
      </c>
      <c r="K95">
        <v>0</v>
      </c>
      <c r="L95">
        <v>0</v>
      </c>
      <c r="M95" t="b">
        <v>0</v>
      </c>
      <c r="N95" t="s">
        <v>20</v>
      </c>
    </row>
    <row r="96" spans="1:14" x14ac:dyDescent="0.2">
      <c r="A96" s="1" t="s">
        <v>25</v>
      </c>
      <c r="B96">
        <v>59</v>
      </c>
      <c r="C96" s="2">
        <v>44761</v>
      </c>
      <c r="D96" t="s">
        <v>88</v>
      </c>
      <c r="E96" t="s">
        <v>17</v>
      </c>
      <c r="F96" t="s">
        <v>21</v>
      </c>
      <c r="G96" t="s">
        <v>89</v>
      </c>
      <c r="H96">
        <v>0</v>
      </c>
      <c r="I96">
        <v>0</v>
      </c>
      <c r="J96">
        <v>0</v>
      </c>
      <c r="K96">
        <v>0</v>
      </c>
      <c r="L96">
        <v>0</v>
      </c>
      <c r="M96" t="b">
        <v>0</v>
      </c>
      <c r="N96" t="s">
        <v>20</v>
      </c>
    </row>
    <row r="97" spans="1:14" x14ac:dyDescent="0.2">
      <c r="A97" s="1" t="s">
        <v>25</v>
      </c>
      <c r="B97">
        <v>59</v>
      </c>
      <c r="C97" s="2">
        <v>44761</v>
      </c>
      <c r="D97" t="s">
        <v>88</v>
      </c>
      <c r="E97" t="s">
        <v>17</v>
      </c>
      <c r="F97" t="s">
        <v>22</v>
      </c>
      <c r="G97" t="s">
        <v>89</v>
      </c>
      <c r="H97">
        <v>0</v>
      </c>
      <c r="I97">
        <v>0</v>
      </c>
      <c r="J97">
        <v>0</v>
      </c>
      <c r="K97" s="3">
        <v>2.5124197281896801E-5</v>
      </c>
      <c r="L97">
        <v>0</v>
      </c>
      <c r="M97" t="b">
        <v>0</v>
      </c>
      <c r="N97" t="s">
        <v>20</v>
      </c>
    </row>
    <row r="98" spans="1:14" x14ac:dyDescent="0.2">
      <c r="A98" s="1" t="s">
        <v>25</v>
      </c>
      <c r="B98">
        <v>59</v>
      </c>
      <c r="C98" s="2">
        <v>44761</v>
      </c>
      <c r="D98" t="s">
        <v>90</v>
      </c>
      <c r="E98" t="s">
        <v>23</v>
      </c>
      <c r="F98" t="s">
        <v>18</v>
      </c>
      <c r="G98" t="s">
        <v>91</v>
      </c>
      <c r="H98">
        <v>0</v>
      </c>
      <c r="I98">
        <v>0</v>
      </c>
      <c r="J98">
        <v>0</v>
      </c>
      <c r="K98">
        <v>0</v>
      </c>
      <c r="L98">
        <v>0</v>
      </c>
      <c r="M98" t="b">
        <v>0</v>
      </c>
      <c r="N98" t="s">
        <v>20</v>
      </c>
    </row>
    <row r="99" spans="1:14" x14ac:dyDescent="0.2">
      <c r="A99" s="1" t="s">
        <v>25</v>
      </c>
      <c r="B99">
        <v>59</v>
      </c>
      <c r="C99" s="2">
        <v>44761</v>
      </c>
      <c r="D99" t="s">
        <v>90</v>
      </c>
      <c r="E99" t="s">
        <v>23</v>
      </c>
      <c r="F99" t="s">
        <v>21</v>
      </c>
      <c r="G99" t="s">
        <v>91</v>
      </c>
      <c r="H99">
        <v>0</v>
      </c>
      <c r="I99">
        <v>0</v>
      </c>
      <c r="J99">
        <v>0</v>
      </c>
      <c r="K99">
        <v>0</v>
      </c>
      <c r="L99">
        <v>0</v>
      </c>
      <c r="M99" t="b">
        <v>0</v>
      </c>
      <c r="N99" t="s">
        <v>20</v>
      </c>
    </row>
    <row r="100" spans="1:14" x14ac:dyDescent="0.2">
      <c r="A100" s="1" t="s">
        <v>25</v>
      </c>
      <c r="B100">
        <v>59</v>
      </c>
      <c r="C100" s="2">
        <v>44761</v>
      </c>
      <c r="D100" t="s">
        <v>90</v>
      </c>
      <c r="E100" t="s">
        <v>23</v>
      </c>
      <c r="F100" t="s">
        <v>22</v>
      </c>
      <c r="G100" t="s">
        <v>91</v>
      </c>
      <c r="H100">
        <v>0</v>
      </c>
      <c r="I100">
        <v>0</v>
      </c>
      <c r="J100">
        <v>0</v>
      </c>
      <c r="K100" s="3">
        <v>2.5440782762003998E-5</v>
      </c>
      <c r="L100">
        <v>0</v>
      </c>
      <c r="M100" t="b">
        <v>0</v>
      </c>
      <c r="N100" t="s">
        <v>20</v>
      </c>
    </row>
    <row r="101" spans="1:14" x14ac:dyDescent="0.2">
      <c r="A101" s="1" t="s">
        <v>25</v>
      </c>
      <c r="B101">
        <v>65</v>
      </c>
      <c r="C101" s="2">
        <v>44763</v>
      </c>
      <c r="D101" t="s">
        <v>92</v>
      </c>
      <c r="E101" t="s">
        <v>17</v>
      </c>
      <c r="F101" t="s">
        <v>18</v>
      </c>
      <c r="G101" t="s">
        <v>93</v>
      </c>
      <c r="H101">
        <v>0</v>
      </c>
      <c r="I101">
        <v>0</v>
      </c>
      <c r="J101">
        <v>0</v>
      </c>
      <c r="K101">
        <v>0</v>
      </c>
      <c r="L101">
        <v>0</v>
      </c>
      <c r="M101" t="b">
        <v>0</v>
      </c>
      <c r="N101" t="s">
        <v>20</v>
      </c>
    </row>
    <row r="102" spans="1:14" x14ac:dyDescent="0.2">
      <c r="A102" s="1" t="s">
        <v>25</v>
      </c>
      <c r="B102">
        <v>65</v>
      </c>
      <c r="C102" s="2">
        <v>44763</v>
      </c>
      <c r="D102" t="s">
        <v>92</v>
      </c>
      <c r="E102" t="s">
        <v>17</v>
      </c>
      <c r="F102" t="s">
        <v>21</v>
      </c>
      <c r="G102" t="s">
        <v>93</v>
      </c>
      <c r="H102">
        <v>0</v>
      </c>
      <c r="I102">
        <v>0</v>
      </c>
      <c r="J102">
        <v>0</v>
      </c>
      <c r="K102">
        <v>0</v>
      </c>
      <c r="L102">
        <v>0</v>
      </c>
      <c r="M102" t="b">
        <v>0</v>
      </c>
      <c r="N102" t="s">
        <v>20</v>
      </c>
    </row>
    <row r="103" spans="1:14" x14ac:dyDescent="0.2">
      <c r="A103" s="1" t="s">
        <v>25</v>
      </c>
      <c r="B103">
        <v>65</v>
      </c>
      <c r="C103" s="2">
        <v>44763</v>
      </c>
      <c r="D103" t="s">
        <v>92</v>
      </c>
      <c r="E103" t="s">
        <v>17</v>
      </c>
      <c r="F103" t="s">
        <v>22</v>
      </c>
      <c r="G103" t="s">
        <v>93</v>
      </c>
      <c r="H103">
        <v>0</v>
      </c>
      <c r="I103">
        <v>0</v>
      </c>
      <c r="J103">
        <v>0</v>
      </c>
      <c r="K103" s="3">
        <v>2.5213537652636399E-5</v>
      </c>
      <c r="L103">
        <v>0</v>
      </c>
      <c r="M103" t="b">
        <v>0</v>
      </c>
      <c r="N103" t="s">
        <v>20</v>
      </c>
    </row>
    <row r="104" spans="1:14" x14ac:dyDescent="0.2">
      <c r="A104" s="1" t="s">
        <v>25</v>
      </c>
      <c r="B104">
        <v>65</v>
      </c>
      <c r="C104" s="2">
        <v>44763</v>
      </c>
      <c r="D104" t="s">
        <v>94</v>
      </c>
      <c r="E104" t="s">
        <v>23</v>
      </c>
      <c r="F104" t="s">
        <v>18</v>
      </c>
      <c r="G104" t="s">
        <v>95</v>
      </c>
      <c r="H104">
        <v>0</v>
      </c>
      <c r="I104">
        <v>0</v>
      </c>
      <c r="J104">
        <v>0</v>
      </c>
      <c r="K104">
        <v>0</v>
      </c>
      <c r="L104">
        <v>0</v>
      </c>
      <c r="M104" t="b">
        <v>0</v>
      </c>
      <c r="N104" t="s">
        <v>20</v>
      </c>
    </row>
    <row r="105" spans="1:14" x14ac:dyDescent="0.2">
      <c r="A105" s="1" t="s">
        <v>25</v>
      </c>
      <c r="B105">
        <v>65</v>
      </c>
      <c r="C105" s="2">
        <v>44763</v>
      </c>
      <c r="D105" t="s">
        <v>94</v>
      </c>
      <c r="E105" t="s">
        <v>23</v>
      </c>
      <c r="F105" t="s">
        <v>21</v>
      </c>
      <c r="G105" t="s">
        <v>95</v>
      </c>
      <c r="H105">
        <v>0</v>
      </c>
      <c r="I105">
        <v>0</v>
      </c>
      <c r="J105">
        <v>0</v>
      </c>
      <c r="K105">
        <v>0</v>
      </c>
      <c r="L105">
        <v>0</v>
      </c>
      <c r="M105" t="b">
        <v>0</v>
      </c>
      <c r="N105" t="s">
        <v>20</v>
      </c>
    </row>
    <row r="106" spans="1:14" x14ac:dyDescent="0.2">
      <c r="A106" s="1" t="s">
        <v>25</v>
      </c>
      <c r="B106">
        <v>65</v>
      </c>
      <c r="C106" s="2">
        <v>44763</v>
      </c>
      <c r="D106" t="s">
        <v>94</v>
      </c>
      <c r="E106" t="s">
        <v>23</v>
      </c>
      <c r="F106" t="s">
        <v>22</v>
      </c>
      <c r="G106" t="s">
        <v>95</v>
      </c>
      <c r="H106">
        <v>0</v>
      </c>
      <c r="I106">
        <v>0</v>
      </c>
      <c r="J106">
        <v>0</v>
      </c>
      <c r="K106" s="3">
        <v>2.5067221933484901E-5</v>
      </c>
      <c r="L106">
        <v>0</v>
      </c>
      <c r="M106" t="b">
        <v>0</v>
      </c>
      <c r="N106" t="s">
        <v>20</v>
      </c>
    </row>
    <row r="107" spans="1:14" x14ac:dyDescent="0.2">
      <c r="A107" s="1" t="s">
        <v>39</v>
      </c>
      <c r="B107">
        <v>55</v>
      </c>
      <c r="C107" s="2">
        <v>44748</v>
      </c>
      <c r="D107" t="s">
        <v>96</v>
      </c>
      <c r="E107" t="s">
        <v>17</v>
      </c>
      <c r="F107" t="s">
        <v>18</v>
      </c>
      <c r="G107" t="s">
        <v>97</v>
      </c>
      <c r="H107">
        <v>1.8566871682844301E-4</v>
      </c>
      <c r="I107">
        <v>0</v>
      </c>
      <c r="J107">
        <v>0</v>
      </c>
      <c r="K107">
        <v>0</v>
      </c>
      <c r="L107">
        <v>0</v>
      </c>
      <c r="M107" t="b">
        <v>0</v>
      </c>
      <c r="N107" t="s">
        <v>20</v>
      </c>
    </row>
    <row r="108" spans="1:14" x14ac:dyDescent="0.2">
      <c r="A108" s="1" t="s">
        <v>39</v>
      </c>
      <c r="B108">
        <v>55</v>
      </c>
      <c r="C108" s="2">
        <v>44748</v>
      </c>
      <c r="D108" t="s">
        <v>96</v>
      </c>
      <c r="E108" t="s">
        <v>17</v>
      </c>
      <c r="F108" t="s">
        <v>21</v>
      </c>
      <c r="G108" t="s">
        <v>97</v>
      </c>
      <c r="H108">
        <v>1.8566871682844301E-4</v>
      </c>
      <c r="I108">
        <v>0</v>
      </c>
      <c r="J108">
        <v>0</v>
      </c>
      <c r="K108">
        <v>0</v>
      </c>
      <c r="L108">
        <v>0</v>
      </c>
      <c r="M108" t="b">
        <v>0</v>
      </c>
      <c r="N108" t="s">
        <v>20</v>
      </c>
    </row>
    <row r="109" spans="1:14" x14ac:dyDescent="0.2">
      <c r="A109" s="1" t="s">
        <v>39</v>
      </c>
      <c r="B109">
        <v>55</v>
      </c>
      <c r="C109" s="2">
        <v>44748</v>
      </c>
      <c r="D109" t="s">
        <v>96</v>
      </c>
      <c r="E109" t="s">
        <v>17</v>
      </c>
      <c r="F109" t="s">
        <v>22</v>
      </c>
      <c r="G109" t="s">
        <v>97</v>
      </c>
      <c r="H109">
        <v>1.8566871682844301E-4</v>
      </c>
      <c r="I109">
        <v>0</v>
      </c>
      <c r="J109">
        <v>0</v>
      </c>
      <c r="K109" s="3">
        <v>2.50903671389788E-5</v>
      </c>
      <c r="L109">
        <v>0</v>
      </c>
      <c r="M109" t="b">
        <v>0</v>
      </c>
      <c r="N109" t="s">
        <v>20</v>
      </c>
    </row>
    <row r="110" spans="1:14" x14ac:dyDescent="0.2">
      <c r="A110" s="1" t="s">
        <v>39</v>
      </c>
      <c r="B110">
        <v>55</v>
      </c>
      <c r="C110" s="2">
        <v>44748</v>
      </c>
      <c r="D110" t="s">
        <v>98</v>
      </c>
      <c r="E110" t="s">
        <v>23</v>
      </c>
      <c r="F110" t="s">
        <v>18</v>
      </c>
      <c r="G110" t="s">
        <v>99</v>
      </c>
      <c r="H110">
        <v>0</v>
      </c>
      <c r="I110">
        <v>0</v>
      </c>
      <c r="J110">
        <v>0</v>
      </c>
      <c r="K110">
        <v>0</v>
      </c>
      <c r="L110">
        <v>0</v>
      </c>
      <c r="M110" t="b">
        <v>0</v>
      </c>
      <c r="N110" t="s">
        <v>20</v>
      </c>
    </row>
    <row r="111" spans="1:14" x14ac:dyDescent="0.2">
      <c r="A111" s="1" t="s">
        <v>39</v>
      </c>
      <c r="B111">
        <v>55</v>
      </c>
      <c r="C111" s="2">
        <v>44748</v>
      </c>
      <c r="D111" t="s">
        <v>98</v>
      </c>
      <c r="E111" t="s">
        <v>23</v>
      </c>
      <c r="F111" t="s">
        <v>21</v>
      </c>
      <c r="G111" t="s">
        <v>99</v>
      </c>
      <c r="H111">
        <v>0</v>
      </c>
      <c r="I111">
        <v>0</v>
      </c>
      <c r="J111">
        <v>0</v>
      </c>
      <c r="K111">
        <v>0</v>
      </c>
      <c r="L111">
        <v>0</v>
      </c>
      <c r="M111" t="b">
        <v>0</v>
      </c>
      <c r="N111" t="s">
        <v>20</v>
      </c>
    </row>
    <row r="112" spans="1:14" x14ac:dyDescent="0.2">
      <c r="A112" s="1" t="s">
        <v>39</v>
      </c>
      <c r="B112">
        <v>55</v>
      </c>
      <c r="C112" s="2">
        <v>44748</v>
      </c>
      <c r="D112" t="s">
        <v>98</v>
      </c>
      <c r="E112" t="s">
        <v>23</v>
      </c>
      <c r="F112" t="s">
        <v>22</v>
      </c>
      <c r="G112" t="s">
        <v>99</v>
      </c>
      <c r="H112">
        <v>0</v>
      </c>
      <c r="I112">
        <v>0</v>
      </c>
      <c r="J112">
        <v>0</v>
      </c>
      <c r="K112" s="3">
        <v>2.5561413852922999E-5</v>
      </c>
      <c r="L112">
        <v>0</v>
      </c>
      <c r="M112" t="b">
        <v>0</v>
      </c>
      <c r="N112" t="s">
        <v>20</v>
      </c>
    </row>
    <row r="113" spans="1:15" x14ac:dyDescent="0.2">
      <c r="A113" s="1" t="s">
        <v>25</v>
      </c>
      <c r="B113">
        <v>61</v>
      </c>
      <c r="C113" s="2">
        <v>44763</v>
      </c>
      <c r="D113" t="s">
        <v>100</v>
      </c>
      <c r="E113" t="s">
        <v>17</v>
      </c>
      <c r="F113" t="s">
        <v>18</v>
      </c>
      <c r="G113" t="s">
        <v>101</v>
      </c>
      <c r="H113">
        <v>7.1879648577096202E-3</v>
      </c>
      <c r="I113">
        <v>0</v>
      </c>
      <c r="J113">
        <v>0</v>
      </c>
      <c r="K113" s="3">
        <v>2.53991691085145E-6</v>
      </c>
      <c r="L113">
        <v>0</v>
      </c>
      <c r="M113" t="b">
        <v>0</v>
      </c>
      <c r="N113" t="s">
        <v>20</v>
      </c>
    </row>
    <row r="114" spans="1:15" x14ac:dyDescent="0.2">
      <c r="A114" s="1" t="s">
        <v>25</v>
      </c>
      <c r="B114">
        <v>61</v>
      </c>
      <c r="C114" s="2">
        <v>44763</v>
      </c>
      <c r="D114" t="s">
        <v>100</v>
      </c>
      <c r="E114" t="s">
        <v>17</v>
      </c>
      <c r="F114" t="s">
        <v>21</v>
      </c>
      <c r="G114" t="s">
        <v>101</v>
      </c>
      <c r="H114">
        <v>7.1879648577096202E-3</v>
      </c>
      <c r="I114">
        <v>0</v>
      </c>
      <c r="J114">
        <v>0</v>
      </c>
      <c r="K114" s="3">
        <v>2.53991691085145E-6</v>
      </c>
      <c r="L114">
        <v>0</v>
      </c>
      <c r="M114" t="b">
        <v>0</v>
      </c>
      <c r="N114" t="s">
        <v>20</v>
      </c>
    </row>
    <row r="115" spans="1:15" x14ac:dyDescent="0.2">
      <c r="A115" s="1" t="s">
        <v>25</v>
      </c>
      <c r="B115">
        <v>61</v>
      </c>
      <c r="C115" s="2">
        <v>44763</v>
      </c>
      <c r="D115" t="s">
        <v>100</v>
      </c>
      <c r="E115" t="s">
        <v>17</v>
      </c>
      <c r="F115" t="s">
        <v>22</v>
      </c>
      <c r="G115" t="s">
        <v>101</v>
      </c>
      <c r="H115">
        <v>7.1879648577096202E-3</v>
      </c>
      <c r="I115">
        <v>0</v>
      </c>
      <c r="J115">
        <v>0</v>
      </c>
      <c r="K115" s="3">
        <v>2.53991691085145E-5</v>
      </c>
      <c r="L115">
        <v>0</v>
      </c>
      <c r="M115" t="b">
        <v>0</v>
      </c>
      <c r="N115" t="s">
        <v>20</v>
      </c>
    </row>
    <row r="116" spans="1:15" x14ac:dyDescent="0.2">
      <c r="A116" s="1" t="s">
        <v>25</v>
      </c>
      <c r="B116">
        <v>61</v>
      </c>
      <c r="C116" s="2">
        <v>44763</v>
      </c>
      <c r="D116" t="s">
        <v>102</v>
      </c>
      <c r="E116" t="s">
        <v>23</v>
      </c>
      <c r="F116" t="s">
        <v>18</v>
      </c>
      <c r="G116" t="s">
        <v>103</v>
      </c>
      <c r="H116">
        <v>6.3450021103832702E-2</v>
      </c>
      <c r="I116">
        <v>0</v>
      </c>
      <c r="J116">
        <v>0</v>
      </c>
      <c r="K116" s="3">
        <v>2.78905278189421E-6</v>
      </c>
      <c r="L116">
        <v>0</v>
      </c>
      <c r="M116" t="b">
        <v>0</v>
      </c>
      <c r="N116" t="s">
        <v>104</v>
      </c>
      <c r="O116" t="s">
        <v>105</v>
      </c>
    </row>
    <row r="117" spans="1:15" x14ac:dyDescent="0.2">
      <c r="A117" s="1" t="s">
        <v>25</v>
      </c>
      <c r="B117">
        <v>61</v>
      </c>
      <c r="C117" s="2">
        <v>44763</v>
      </c>
      <c r="D117" t="s">
        <v>102</v>
      </c>
      <c r="E117" t="s">
        <v>23</v>
      </c>
      <c r="F117" t="s">
        <v>21</v>
      </c>
      <c r="G117" t="s">
        <v>103</v>
      </c>
      <c r="H117">
        <v>6.3450021103832702E-2</v>
      </c>
      <c r="I117">
        <v>0</v>
      </c>
      <c r="J117">
        <v>0</v>
      </c>
      <c r="K117">
        <v>0</v>
      </c>
      <c r="L117">
        <v>0</v>
      </c>
      <c r="M117" t="b">
        <v>0</v>
      </c>
      <c r="N117" t="s">
        <v>104</v>
      </c>
      <c r="O117" t="s">
        <v>105</v>
      </c>
    </row>
    <row r="118" spans="1:15" x14ac:dyDescent="0.2">
      <c r="A118" s="1" t="s">
        <v>25</v>
      </c>
      <c r="B118">
        <v>61</v>
      </c>
      <c r="C118" s="2">
        <v>44763</v>
      </c>
      <c r="D118" t="s">
        <v>102</v>
      </c>
      <c r="E118" t="s">
        <v>23</v>
      </c>
      <c r="F118" t="s">
        <v>22</v>
      </c>
      <c r="G118" t="s">
        <v>103</v>
      </c>
      <c r="H118">
        <v>6.3450021103832702E-2</v>
      </c>
      <c r="I118">
        <v>0</v>
      </c>
      <c r="J118">
        <v>0</v>
      </c>
      <c r="K118" s="3">
        <v>2.78905278189421E-5</v>
      </c>
      <c r="L118">
        <v>0</v>
      </c>
      <c r="M118" t="b">
        <v>0</v>
      </c>
      <c r="N118" t="s">
        <v>104</v>
      </c>
      <c r="O118" t="s">
        <v>105</v>
      </c>
    </row>
    <row r="119" spans="1:15" x14ac:dyDescent="0.2">
      <c r="A119" s="1" t="s">
        <v>25</v>
      </c>
      <c r="B119">
        <v>64</v>
      </c>
      <c r="C119" s="2">
        <v>44760</v>
      </c>
      <c r="D119" t="s">
        <v>106</v>
      </c>
      <c r="E119" t="s">
        <v>17</v>
      </c>
      <c r="F119" t="s">
        <v>18</v>
      </c>
      <c r="G119" t="s">
        <v>107</v>
      </c>
      <c r="H119" s="3">
        <v>0</v>
      </c>
      <c r="I119">
        <v>0</v>
      </c>
      <c r="J119">
        <v>0</v>
      </c>
      <c r="K119">
        <v>0</v>
      </c>
      <c r="L119">
        <v>0</v>
      </c>
      <c r="M119" t="b">
        <v>0</v>
      </c>
      <c r="N119" t="s">
        <v>20</v>
      </c>
    </row>
    <row r="120" spans="1:15" x14ac:dyDescent="0.2">
      <c r="A120" s="1" t="s">
        <v>25</v>
      </c>
      <c r="B120">
        <v>64</v>
      </c>
      <c r="C120" s="2">
        <v>44760</v>
      </c>
      <c r="D120" t="s">
        <v>106</v>
      </c>
      <c r="E120" t="s">
        <v>17</v>
      </c>
      <c r="F120" t="s">
        <v>21</v>
      </c>
      <c r="G120" t="s">
        <v>107</v>
      </c>
      <c r="H120" s="3">
        <v>0</v>
      </c>
      <c r="I120">
        <v>0</v>
      </c>
      <c r="J120">
        <v>0</v>
      </c>
      <c r="K120">
        <v>0</v>
      </c>
      <c r="L120">
        <v>0</v>
      </c>
      <c r="M120" t="b">
        <v>0</v>
      </c>
      <c r="N120" t="s">
        <v>20</v>
      </c>
    </row>
    <row r="121" spans="1:15" x14ac:dyDescent="0.2">
      <c r="A121" s="1" t="s">
        <v>25</v>
      </c>
      <c r="B121">
        <v>64</v>
      </c>
      <c r="C121" s="2">
        <v>44760</v>
      </c>
      <c r="D121" t="s">
        <v>106</v>
      </c>
      <c r="E121" t="s">
        <v>17</v>
      </c>
      <c r="F121" t="s">
        <v>22</v>
      </c>
      <c r="G121" t="s">
        <v>107</v>
      </c>
      <c r="H121" s="3">
        <v>0</v>
      </c>
      <c r="I121">
        <v>0</v>
      </c>
      <c r="J121">
        <v>0</v>
      </c>
      <c r="K121" s="3">
        <v>2.5044244832537402E-5</v>
      </c>
      <c r="L121">
        <v>0</v>
      </c>
      <c r="M121" t="b">
        <v>0</v>
      </c>
      <c r="N121" t="s">
        <v>20</v>
      </c>
    </row>
    <row r="122" spans="1:15" x14ac:dyDescent="0.2">
      <c r="A122" s="1" t="s">
        <v>25</v>
      </c>
      <c r="B122">
        <v>64</v>
      </c>
      <c r="C122" s="2">
        <v>44760</v>
      </c>
      <c r="D122" t="s">
        <v>106</v>
      </c>
      <c r="E122" t="s">
        <v>23</v>
      </c>
      <c r="F122" t="s">
        <v>18</v>
      </c>
      <c r="G122" t="s">
        <v>108</v>
      </c>
      <c r="H122">
        <v>0</v>
      </c>
      <c r="I122">
        <v>0</v>
      </c>
      <c r="J122">
        <v>0</v>
      </c>
      <c r="K122">
        <v>0</v>
      </c>
      <c r="L122">
        <v>0</v>
      </c>
      <c r="M122" t="b">
        <v>0</v>
      </c>
      <c r="N122" t="s">
        <v>20</v>
      </c>
    </row>
    <row r="123" spans="1:15" x14ac:dyDescent="0.2">
      <c r="A123" s="1" t="s">
        <v>25</v>
      </c>
      <c r="B123">
        <v>64</v>
      </c>
      <c r="C123" s="2">
        <v>44760</v>
      </c>
      <c r="D123" t="s">
        <v>106</v>
      </c>
      <c r="E123" t="s">
        <v>23</v>
      </c>
      <c r="F123" t="s">
        <v>21</v>
      </c>
      <c r="G123" t="s">
        <v>108</v>
      </c>
      <c r="H123">
        <v>0</v>
      </c>
      <c r="I123">
        <v>0</v>
      </c>
      <c r="J123">
        <v>0</v>
      </c>
      <c r="K123">
        <v>0</v>
      </c>
      <c r="L123">
        <v>0</v>
      </c>
      <c r="M123" t="b">
        <v>0</v>
      </c>
      <c r="N123" t="s">
        <v>20</v>
      </c>
    </row>
    <row r="124" spans="1:15" x14ac:dyDescent="0.2">
      <c r="A124" s="1" t="s">
        <v>25</v>
      </c>
      <c r="B124">
        <v>64</v>
      </c>
      <c r="C124" s="2">
        <v>44760</v>
      </c>
      <c r="D124" t="s">
        <v>106</v>
      </c>
      <c r="E124" t="s">
        <v>23</v>
      </c>
      <c r="F124" t="s">
        <v>22</v>
      </c>
      <c r="G124" t="s">
        <v>108</v>
      </c>
      <c r="H124">
        <v>0</v>
      </c>
      <c r="I124">
        <v>0</v>
      </c>
      <c r="J124">
        <v>0</v>
      </c>
      <c r="K124" s="3">
        <v>2.5041610809962501E-5</v>
      </c>
      <c r="L124">
        <v>0</v>
      </c>
      <c r="M124" t="b">
        <v>0</v>
      </c>
      <c r="N124" t="s">
        <v>20</v>
      </c>
    </row>
    <row r="125" spans="1:15" x14ac:dyDescent="0.2">
      <c r="A125" s="1" t="s">
        <v>25</v>
      </c>
      <c r="B125">
        <v>65</v>
      </c>
      <c r="C125" s="2">
        <v>44762</v>
      </c>
      <c r="D125" t="s">
        <v>109</v>
      </c>
      <c r="E125" t="s">
        <v>17</v>
      </c>
      <c r="F125" t="s">
        <v>18</v>
      </c>
      <c r="G125" t="s">
        <v>110</v>
      </c>
      <c r="H125">
        <v>0</v>
      </c>
      <c r="I125">
        <v>0</v>
      </c>
      <c r="J125">
        <v>0</v>
      </c>
      <c r="K125">
        <v>0</v>
      </c>
      <c r="L125">
        <v>0</v>
      </c>
      <c r="M125" t="b">
        <v>0</v>
      </c>
      <c r="N125" t="s">
        <v>20</v>
      </c>
    </row>
    <row r="126" spans="1:15" x14ac:dyDescent="0.2">
      <c r="A126" s="1" t="s">
        <v>25</v>
      </c>
      <c r="B126">
        <v>65</v>
      </c>
      <c r="C126" s="2">
        <v>44762</v>
      </c>
      <c r="D126" t="s">
        <v>109</v>
      </c>
      <c r="E126" t="s">
        <v>17</v>
      </c>
      <c r="F126" t="s">
        <v>21</v>
      </c>
      <c r="G126" t="s">
        <v>110</v>
      </c>
      <c r="H126">
        <v>0</v>
      </c>
      <c r="I126">
        <v>0</v>
      </c>
      <c r="J126">
        <v>0</v>
      </c>
      <c r="K126">
        <v>0</v>
      </c>
      <c r="L126">
        <v>0</v>
      </c>
      <c r="M126" t="b">
        <v>0</v>
      </c>
      <c r="N126" t="s">
        <v>20</v>
      </c>
    </row>
    <row r="127" spans="1:15" x14ac:dyDescent="0.2">
      <c r="A127" s="1" t="s">
        <v>25</v>
      </c>
      <c r="B127">
        <v>65</v>
      </c>
      <c r="C127" s="2">
        <v>44762</v>
      </c>
      <c r="D127" t="s">
        <v>109</v>
      </c>
      <c r="E127" t="s">
        <v>17</v>
      </c>
      <c r="F127" t="s">
        <v>22</v>
      </c>
      <c r="G127" t="s">
        <v>110</v>
      </c>
      <c r="H127">
        <v>0</v>
      </c>
      <c r="I127">
        <v>0</v>
      </c>
      <c r="J127">
        <v>0</v>
      </c>
      <c r="K127" s="3">
        <v>2.5065693003747301E-5</v>
      </c>
      <c r="L127">
        <v>0</v>
      </c>
      <c r="M127" t="b">
        <v>0</v>
      </c>
      <c r="N127" t="s">
        <v>20</v>
      </c>
    </row>
    <row r="128" spans="1:15" x14ac:dyDescent="0.2">
      <c r="A128" s="1" t="s">
        <v>25</v>
      </c>
      <c r="B128">
        <v>65</v>
      </c>
      <c r="C128" s="2">
        <v>44762</v>
      </c>
      <c r="D128" t="s">
        <v>111</v>
      </c>
      <c r="E128" t="s">
        <v>23</v>
      </c>
      <c r="F128" t="s">
        <v>18</v>
      </c>
      <c r="G128" t="s">
        <v>112</v>
      </c>
      <c r="H128">
        <v>0</v>
      </c>
      <c r="I128">
        <v>0</v>
      </c>
      <c r="J128">
        <v>0</v>
      </c>
      <c r="K128">
        <v>0</v>
      </c>
      <c r="L128">
        <v>0</v>
      </c>
      <c r="M128" t="b">
        <v>0</v>
      </c>
      <c r="N128" t="s">
        <v>20</v>
      </c>
    </row>
    <row r="129" spans="1:15" x14ac:dyDescent="0.2">
      <c r="A129" s="1" t="s">
        <v>25</v>
      </c>
      <c r="B129">
        <v>65</v>
      </c>
      <c r="C129" s="2">
        <v>44762</v>
      </c>
      <c r="D129" t="s">
        <v>111</v>
      </c>
      <c r="E129" t="s">
        <v>23</v>
      </c>
      <c r="F129" t="s">
        <v>21</v>
      </c>
      <c r="G129" t="s">
        <v>112</v>
      </c>
      <c r="H129">
        <v>0</v>
      </c>
      <c r="I129">
        <v>0</v>
      </c>
      <c r="J129">
        <v>0</v>
      </c>
      <c r="K129">
        <v>0</v>
      </c>
      <c r="L129">
        <v>0</v>
      </c>
      <c r="M129" t="b">
        <v>0</v>
      </c>
      <c r="N129" t="s">
        <v>20</v>
      </c>
    </row>
    <row r="130" spans="1:15" x14ac:dyDescent="0.2">
      <c r="A130" s="1" t="s">
        <v>25</v>
      </c>
      <c r="B130">
        <v>65</v>
      </c>
      <c r="C130" s="2">
        <v>44762</v>
      </c>
      <c r="D130" t="s">
        <v>111</v>
      </c>
      <c r="E130" t="s">
        <v>23</v>
      </c>
      <c r="F130" t="s">
        <v>22</v>
      </c>
      <c r="G130" t="s">
        <v>112</v>
      </c>
      <c r="H130">
        <v>0</v>
      </c>
      <c r="I130">
        <v>0</v>
      </c>
      <c r="J130">
        <v>0</v>
      </c>
      <c r="K130" s="3">
        <v>2.5116898230514499E-5</v>
      </c>
      <c r="L130">
        <v>0</v>
      </c>
      <c r="M130" t="b">
        <v>0</v>
      </c>
      <c r="N130" t="s">
        <v>20</v>
      </c>
    </row>
    <row r="131" spans="1:15" x14ac:dyDescent="0.2">
      <c r="A131" s="1" t="s">
        <v>25</v>
      </c>
      <c r="B131">
        <v>59</v>
      </c>
      <c r="C131" s="2">
        <v>44764</v>
      </c>
      <c r="D131" t="s">
        <v>113</v>
      </c>
      <c r="E131" t="s">
        <v>17</v>
      </c>
      <c r="F131" t="s">
        <v>18</v>
      </c>
      <c r="G131" t="s">
        <v>114</v>
      </c>
      <c r="H131">
        <v>1.07619307835513E-2</v>
      </c>
      <c r="I131">
        <v>0</v>
      </c>
      <c r="J131">
        <v>0</v>
      </c>
      <c r="K131" s="3">
        <v>2.54559586459466E-6</v>
      </c>
      <c r="L131">
        <v>0</v>
      </c>
      <c r="M131" t="b">
        <v>0</v>
      </c>
      <c r="N131" t="s">
        <v>104</v>
      </c>
      <c r="O131" t="s">
        <v>115</v>
      </c>
    </row>
    <row r="132" spans="1:15" x14ac:dyDescent="0.2">
      <c r="A132" s="1" t="s">
        <v>25</v>
      </c>
      <c r="B132">
        <v>59</v>
      </c>
      <c r="C132" s="2">
        <v>44764</v>
      </c>
      <c r="D132" t="s">
        <v>113</v>
      </c>
      <c r="E132" t="s">
        <v>17</v>
      </c>
      <c r="F132" t="s">
        <v>21</v>
      </c>
      <c r="G132" t="s">
        <v>114</v>
      </c>
      <c r="H132">
        <v>1.07619307835513E-2</v>
      </c>
      <c r="I132">
        <v>0</v>
      </c>
      <c r="J132">
        <v>0</v>
      </c>
      <c r="K132">
        <v>0</v>
      </c>
      <c r="L132">
        <v>0</v>
      </c>
      <c r="M132" t="b">
        <v>0</v>
      </c>
      <c r="N132" t="s">
        <v>104</v>
      </c>
      <c r="O132" t="s">
        <v>115</v>
      </c>
    </row>
    <row r="133" spans="1:15" x14ac:dyDescent="0.2">
      <c r="A133" s="1" t="s">
        <v>25</v>
      </c>
      <c r="B133">
        <v>59</v>
      </c>
      <c r="C133" s="2">
        <v>44764</v>
      </c>
      <c r="D133" t="s">
        <v>113</v>
      </c>
      <c r="E133" t="s">
        <v>17</v>
      </c>
      <c r="F133" t="s">
        <v>22</v>
      </c>
      <c r="G133" t="s">
        <v>114</v>
      </c>
      <c r="H133">
        <v>1.07619307835513E-2</v>
      </c>
      <c r="I133">
        <v>0</v>
      </c>
      <c r="J133">
        <v>0</v>
      </c>
      <c r="K133" s="3">
        <v>2.5455958645946601E-5</v>
      </c>
      <c r="L133">
        <v>0</v>
      </c>
      <c r="M133" t="b">
        <v>0</v>
      </c>
      <c r="N133" t="s">
        <v>104</v>
      </c>
      <c r="O133" t="s">
        <v>115</v>
      </c>
    </row>
    <row r="134" spans="1:15" x14ac:dyDescent="0.2">
      <c r="A134" s="1" t="s">
        <v>25</v>
      </c>
      <c r="B134">
        <v>59</v>
      </c>
      <c r="C134" s="2">
        <v>44764</v>
      </c>
      <c r="D134" t="s">
        <v>116</v>
      </c>
      <c r="E134" t="s">
        <v>23</v>
      </c>
      <c r="F134" t="s">
        <v>18</v>
      </c>
      <c r="G134" t="s">
        <v>117</v>
      </c>
      <c r="H134">
        <v>1.3273790641841501E-2</v>
      </c>
      <c r="I134">
        <v>0</v>
      </c>
      <c r="J134">
        <v>0</v>
      </c>
      <c r="K134">
        <v>0</v>
      </c>
      <c r="L134">
        <v>0</v>
      </c>
      <c r="M134" t="b">
        <v>0</v>
      </c>
      <c r="N134" t="s">
        <v>104</v>
      </c>
      <c r="O134" t="s">
        <v>118</v>
      </c>
    </row>
    <row r="135" spans="1:15" x14ac:dyDescent="0.2">
      <c r="A135" s="1" t="s">
        <v>25</v>
      </c>
      <c r="B135">
        <v>59</v>
      </c>
      <c r="C135" s="2">
        <v>44764</v>
      </c>
      <c r="D135" t="s">
        <v>116</v>
      </c>
      <c r="E135" t="s">
        <v>23</v>
      </c>
      <c r="F135" t="s">
        <v>21</v>
      </c>
      <c r="G135" t="s">
        <v>117</v>
      </c>
      <c r="H135">
        <v>1.3273790641841501E-2</v>
      </c>
      <c r="I135">
        <v>0</v>
      </c>
      <c r="J135">
        <v>0</v>
      </c>
      <c r="K135" s="3">
        <v>2.5513436651412401E-6</v>
      </c>
      <c r="L135">
        <v>0</v>
      </c>
      <c r="M135" t="b">
        <v>0</v>
      </c>
      <c r="N135" t="s">
        <v>104</v>
      </c>
      <c r="O135" t="s">
        <v>118</v>
      </c>
    </row>
    <row r="136" spans="1:15" x14ac:dyDescent="0.2">
      <c r="A136" s="1" t="s">
        <v>25</v>
      </c>
      <c r="B136">
        <v>59</v>
      </c>
      <c r="C136" s="2">
        <v>44764</v>
      </c>
      <c r="D136" t="s">
        <v>116</v>
      </c>
      <c r="E136" t="s">
        <v>23</v>
      </c>
      <c r="F136" t="s">
        <v>22</v>
      </c>
      <c r="G136" t="s">
        <v>117</v>
      </c>
      <c r="H136">
        <v>1.3273790641841501E-2</v>
      </c>
      <c r="I136">
        <v>0</v>
      </c>
      <c r="J136">
        <v>0</v>
      </c>
      <c r="K136" s="3">
        <v>2.2962092986271201E-5</v>
      </c>
      <c r="L136">
        <v>0</v>
      </c>
      <c r="M136" t="b">
        <v>0</v>
      </c>
      <c r="N136" t="s">
        <v>104</v>
      </c>
      <c r="O136" t="s">
        <v>118</v>
      </c>
    </row>
    <row r="137" spans="1:15" x14ac:dyDescent="0.2">
      <c r="A137" s="1" t="s">
        <v>25</v>
      </c>
      <c r="B137">
        <v>67</v>
      </c>
      <c r="C137" s="2">
        <v>44762</v>
      </c>
      <c r="D137" t="s">
        <v>119</v>
      </c>
      <c r="E137" t="s">
        <v>17</v>
      </c>
      <c r="F137" t="s">
        <v>18</v>
      </c>
      <c r="G137" t="s">
        <v>120</v>
      </c>
      <c r="H137" s="3">
        <v>0</v>
      </c>
      <c r="I137">
        <v>0</v>
      </c>
      <c r="J137">
        <v>0</v>
      </c>
      <c r="K137" s="3">
        <v>2.5100275601026101E-6</v>
      </c>
      <c r="L137">
        <v>0</v>
      </c>
      <c r="M137" t="b">
        <v>0</v>
      </c>
      <c r="N137" t="s">
        <v>20</v>
      </c>
    </row>
    <row r="138" spans="1:15" x14ac:dyDescent="0.2">
      <c r="A138" s="1" t="s">
        <v>25</v>
      </c>
      <c r="B138">
        <v>67</v>
      </c>
      <c r="C138" s="2">
        <v>44762</v>
      </c>
      <c r="D138" t="s">
        <v>119</v>
      </c>
      <c r="E138" t="s">
        <v>17</v>
      </c>
      <c r="F138" t="s">
        <v>21</v>
      </c>
      <c r="G138" t="s">
        <v>120</v>
      </c>
      <c r="H138" s="3">
        <v>0</v>
      </c>
      <c r="I138">
        <v>0</v>
      </c>
      <c r="J138">
        <v>0</v>
      </c>
      <c r="K138" s="3">
        <v>2.3426923894291E-5</v>
      </c>
      <c r="L138">
        <v>0</v>
      </c>
      <c r="M138" t="b">
        <v>0</v>
      </c>
      <c r="N138" t="s">
        <v>20</v>
      </c>
    </row>
    <row r="139" spans="1:15" x14ac:dyDescent="0.2">
      <c r="A139" s="1" t="s">
        <v>25</v>
      </c>
      <c r="B139">
        <v>67</v>
      </c>
      <c r="C139" s="2">
        <v>44762</v>
      </c>
      <c r="D139" t="s">
        <v>119</v>
      </c>
      <c r="E139" t="s">
        <v>17</v>
      </c>
      <c r="F139" t="s">
        <v>22</v>
      </c>
      <c r="G139" t="s">
        <v>120</v>
      </c>
      <c r="H139" s="3">
        <v>0</v>
      </c>
      <c r="I139">
        <v>0</v>
      </c>
      <c r="J139">
        <v>0</v>
      </c>
      <c r="K139" s="3">
        <v>2.2590248040923401E-5</v>
      </c>
      <c r="L139">
        <v>0</v>
      </c>
      <c r="M139" t="b">
        <v>0</v>
      </c>
      <c r="N139" t="s">
        <v>20</v>
      </c>
    </row>
    <row r="140" spans="1:15" x14ac:dyDescent="0.2">
      <c r="A140" s="1" t="s">
        <v>25</v>
      </c>
      <c r="B140">
        <v>67</v>
      </c>
      <c r="C140" s="2">
        <v>44762</v>
      </c>
      <c r="D140" t="s">
        <v>119</v>
      </c>
      <c r="E140" t="s">
        <v>23</v>
      </c>
      <c r="F140" t="s">
        <v>18</v>
      </c>
      <c r="G140" t="s">
        <v>121</v>
      </c>
      <c r="H140" s="3">
        <v>6.6755172900070004E-6</v>
      </c>
      <c r="I140">
        <v>0</v>
      </c>
      <c r="J140">
        <v>0</v>
      </c>
      <c r="K140" s="3">
        <v>2.5033189837526199E-6</v>
      </c>
      <c r="L140">
        <v>0</v>
      </c>
      <c r="M140" t="b">
        <v>0</v>
      </c>
      <c r="N140" t="s">
        <v>20</v>
      </c>
    </row>
    <row r="141" spans="1:15" x14ac:dyDescent="0.2">
      <c r="A141" s="1" t="s">
        <v>25</v>
      </c>
      <c r="B141">
        <v>67</v>
      </c>
      <c r="C141" s="2">
        <v>44762</v>
      </c>
      <c r="D141" t="s">
        <v>119</v>
      </c>
      <c r="E141" t="s">
        <v>23</v>
      </c>
      <c r="F141" t="s">
        <v>21</v>
      </c>
      <c r="G141" t="s">
        <v>121</v>
      </c>
      <c r="H141" s="3">
        <v>6.6755172900070004E-6</v>
      </c>
      <c r="I141">
        <v>0</v>
      </c>
      <c r="J141">
        <v>0</v>
      </c>
      <c r="K141" s="3">
        <v>2.0860991531271802E-5</v>
      </c>
      <c r="L141">
        <v>0</v>
      </c>
      <c r="M141" t="b">
        <v>0</v>
      </c>
      <c r="N141" t="s">
        <v>20</v>
      </c>
    </row>
    <row r="142" spans="1:15" x14ac:dyDescent="0.2">
      <c r="A142" s="1" t="s">
        <v>25</v>
      </c>
      <c r="B142">
        <v>67</v>
      </c>
      <c r="C142" s="2">
        <v>44762</v>
      </c>
      <c r="D142" t="s">
        <v>119</v>
      </c>
      <c r="E142" t="s">
        <v>23</v>
      </c>
      <c r="F142" t="s">
        <v>22</v>
      </c>
      <c r="G142" t="s">
        <v>121</v>
      </c>
      <c r="H142" s="3">
        <v>6.6755172900070004E-6</v>
      </c>
      <c r="I142">
        <v>0</v>
      </c>
      <c r="J142">
        <v>0</v>
      </c>
      <c r="K142" s="3">
        <v>2.5033189837526201E-5</v>
      </c>
      <c r="L142">
        <v>0</v>
      </c>
      <c r="M142" t="b">
        <v>0</v>
      </c>
      <c r="N142" t="s">
        <v>20</v>
      </c>
    </row>
    <row r="143" spans="1:15" x14ac:dyDescent="0.2">
      <c r="A143" s="1" t="s">
        <v>25</v>
      </c>
      <c r="B143">
        <v>66</v>
      </c>
      <c r="C143" s="2">
        <v>44760</v>
      </c>
      <c r="D143" t="s">
        <v>122</v>
      </c>
      <c r="E143" t="s">
        <v>17</v>
      </c>
      <c r="F143" t="s">
        <v>18</v>
      </c>
      <c r="G143" t="s">
        <v>123</v>
      </c>
      <c r="H143" s="3">
        <v>0</v>
      </c>
      <c r="I143">
        <v>0</v>
      </c>
      <c r="J143">
        <v>0</v>
      </c>
      <c r="K143" s="3">
        <v>2.5040064102564098E-6</v>
      </c>
      <c r="L143">
        <v>0</v>
      </c>
      <c r="M143" t="b">
        <v>0</v>
      </c>
      <c r="N143" t="s">
        <v>20</v>
      </c>
    </row>
    <row r="144" spans="1:15" x14ac:dyDescent="0.2">
      <c r="A144" s="1" t="s">
        <v>25</v>
      </c>
      <c r="B144">
        <v>66</v>
      </c>
      <c r="C144" s="2">
        <v>44760</v>
      </c>
      <c r="D144" t="s">
        <v>122</v>
      </c>
      <c r="E144" t="s">
        <v>17</v>
      </c>
      <c r="F144" t="s">
        <v>21</v>
      </c>
      <c r="G144" t="s">
        <v>123</v>
      </c>
      <c r="H144">
        <v>0</v>
      </c>
      <c r="I144">
        <v>0</v>
      </c>
      <c r="J144">
        <v>0</v>
      </c>
      <c r="K144">
        <v>0</v>
      </c>
      <c r="L144">
        <v>0</v>
      </c>
      <c r="M144" t="b">
        <v>0</v>
      </c>
      <c r="N144" t="s">
        <v>20</v>
      </c>
    </row>
    <row r="145" spans="1:14" x14ac:dyDescent="0.2">
      <c r="A145" s="1" t="s">
        <v>25</v>
      </c>
      <c r="B145">
        <v>66</v>
      </c>
      <c r="C145" s="2">
        <v>44760</v>
      </c>
      <c r="D145" t="s">
        <v>122</v>
      </c>
      <c r="E145" t="s">
        <v>17</v>
      </c>
      <c r="F145" t="s">
        <v>22</v>
      </c>
      <c r="G145" t="s">
        <v>123</v>
      </c>
      <c r="H145" s="3">
        <v>0</v>
      </c>
      <c r="I145">
        <v>0</v>
      </c>
      <c r="J145">
        <v>0</v>
      </c>
      <c r="K145" s="3">
        <v>2.5040064102564098E-5</v>
      </c>
      <c r="L145">
        <v>0</v>
      </c>
      <c r="M145" t="b">
        <v>0</v>
      </c>
      <c r="N145" t="s">
        <v>20</v>
      </c>
    </row>
    <row r="146" spans="1:14" x14ac:dyDescent="0.2">
      <c r="A146" s="1" t="s">
        <v>25</v>
      </c>
      <c r="B146">
        <v>66</v>
      </c>
      <c r="C146" s="2">
        <v>44760</v>
      </c>
      <c r="D146" t="s">
        <v>124</v>
      </c>
      <c r="E146" t="s">
        <v>23</v>
      </c>
      <c r="F146" t="s">
        <v>18</v>
      </c>
      <c r="G146" t="s">
        <v>125</v>
      </c>
      <c r="H146" s="3">
        <v>8.4949569687954698E-7</v>
      </c>
      <c r="I146">
        <v>0</v>
      </c>
      <c r="J146">
        <v>0</v>
      </c>
      <c r="K146">
        <v>0</v>
      </c>
      <c r="L146">
        <v>0</v>
      </c>
      <c r="M146" t="b">
        <v>0</v>
      </c>
      <c r="N146" t="s">
        <v>20</v>
      </c>
    </row>
    <row r="147" spans="1:14" x14ac:dyDescent="0.2">
      <c r="A147" s="1" t="s">
        <v>25</v>
      </c>
      <c r="B147">
        <v>66</v>
      </c>
      <c r="C147" s="2">
        <v>44760</v>
      </c>
      <c r="D147" t="s">
        <v>124</v>
      </c>
      <c r="E147" t="s">
        <v>23</v>
      </c>
      <c r="F147" t="s">
        <v>21</v>
      </c>
      <c r="G147" t="s">
        <v>125</v>
      </c>
      <c r="H147" s="3">
        <v>8.4949569687954698E-7</v>
      </c>
      <c r="I147">
        <v>0</v>
      </c>
      <c r="J147">
        <v>0</v>
      </c>
      <c r="K147">
        <v>0</v>
      </c>
      <c r="L147">
        <v>0</v>
      </c>
      <c r="M147" t="b">
        <v>0</v>
      </c>
      <c r="N147" t="s">
        <v>20</v>
      </c>
    </row>
    <row r="148" spans="1:14" x14ac:dyDescent="0.2">
      <c r="A148" s="1" t="s">
        <v>25</v>
      </c>
      <c r="B148">
        <v>66</v>
      </c>
      <c r="C148" s="2">
        <v>44760</v>
      </c>
      <c r="D148" t="s">
        <v>124</v>
      </c>
      <c r="E148" t="s">
        <v>23</v>
      </c>
      <c r="F148" t="s">
        <v>22</v>
      </c>
      <c r="G148" t="s">
        <v>125</v>
      </c>
      <c r="H148" s="3">
        <v>8.4949569687954698E-7</v>
      </c>
      <c r="I148">
        <v>0</v>
      </c>
      <c r="J148">
        <v>0</v>
      </c>
      <c r="K148" s="3">
        <v>2.5484870906386401E-5</v>
      </c>
      <c r="L148">
        <v>0</v>
      </c>
      <c r="M148" t="b">
        <v>0</v>
      </c>
      <c r="N148" t="s">
        <v>20</v>
      </c>
    </row>
    <row r="149" spans="1:14" x14ac:dyDescent="0.2">
      <c r="A149" s="1" t="s">
        <v>64</v>
      </c>
      <c r="B149">
        <v>34</v>
      </c>
      <c r="C149" s="2">
        <v>44683</v>
      </c>
      <c r="D149" t="s">
        <v>126</v>
      </c>
      <c r="E149" t="s">
        <v>17</v>
      </c>
      <c r="F149" t="s">
        <v>18</v>
      </c>
      <c r="G149" t="s">
        <v>127</v>
      </c>
      <c r="H149">
        <v>1.1961702178235299E-3</v>
      </c>
      <c r="I149">
        <v>0</v>
      </c>
      <c r="J149">
        <v>0</v>
      </c>
      <c r="K149">
        <v>0</v>
      </c>
      <c r="L149">
        <v>0</v>
      </c>
      <c r="M149" t="b">
        <v>0</v>
      </c>
      <c r="N149" t="s">
        <v>20</v>
      </c>
    </row>
    <row r="150" spans="1:14" x14ac:dyDescent="0.2">
      <c r="A150" s="1" t="s">
        <v>64</v>
      </c>
      <c r="B150">
        <v>34</v>
      </c>
      <c r="C150" s="2">
        <v>44683</v>
      </c>
      <c r="D150" t="s">
        <v>126</v>
      </c>
      <c r="E150" t="s">
        <v>17</v>
      </c>
      <c r="F150" t="s">
        <v>21</v>
      </c>
      <c r="G150" t="s">
        <v>127</v>
      </c>
      <c r="H150">
        <v>1.1961702178235299E-3</v>
      </c>
      <c r="I150">
        <v>0</v>
      </c>
      <c r="J150">
        <v>0</v>
      </c>
      <c r="K150">
        <v>0</v>
      </c>
      <c r="L150">
        <v>0</v>
      </c>
      <c r="M150" t="b">
        <v>0</v>
      </c>
      <c r="N150" t="s">
        <v>20</v>
      </c>
    </row>
    <row r="151" spans="1:14" x14ac:dyDescent="0.2">
      <c r="A151" s="1" t="s">
        <v>64</v>
      </c>
      <c r="B151">
        <v>34</v>
      </c>
      <c r="C151" s="2">
        <v>44683</v>
      </c>
      <c r="D151" t="s">
        <v>126</v>
      </c>
      <c r="E151" t="s">
        <v>17</v>
      </c>
      <c r="F151" t="s">
        <v>22</v>
      </c>
      <c r="G151" t="s">
        <v>127</v>
      </c>
      <c r="H151">
        <v>1.1961702178235299E-3</v>
      </c>
      <c r="I151">
        <v>0</v>
      </c>
      <c r="J151">
        <v>0</v>
      </c>
      <c r="K151" s="3">
        <v>2.5468492927399501E-5</v>
      </c>
      <c r="L151">
        <v>0</v>
      </c>
      <c r="M151" t="b">
        <v>0</v>
      </c>
      <c r="N151" t="s">
        <v>20</v>
      </c>
    </row>
    <row r="152" spans="1:14" x14ac:dyDescent="0.2">
      <c r="A152" s="1" t="s">
        <v>64</v>
      </c>
      <c r="B152">
        <v>34</v>
      </c>
      <c r="C152" s="2">
        <v>44683</v>
      </c>
      <c r="D152" t="s">
        <v>128</v>
      </c>
      <c r="E152" t="s">
        <v>23</v>
      </c>
      <c r="F152" t="s">
        <v>18</v>
      </c>
      <c r="G152" t="s">
        <v>129</v>
      </c>
      <c r="H152">
        <v>2.48652145404813E-3</v>
      </c>
      <c r="I152">
        <v>0</v>
      </c>
      <c r="J152">
        <v>0</v>
      </c>
      <c r="K152">
        <v>0</v>
      </c>
      <c r="L152">
        <v>0</v>
      </c>
      <c r="M152" t="b">
        <v>0</v>
      </c>
      <c r="N152" t="s">
        <v>20</v>
      </c>
    </row>
    <row r="153" spans="1:14" x14ac:dyDescent="0.2">
      <c r="A153" s="1" t="s">
        <v>64</v>
      </c>
      <c r="B153">
        <v>34</v>
      </c>
      <c r="C153" s="2">
        <v>44683</v>
      </c>
      <c r="D153" t="s">
        <v>128</v>
      </c>
      <c r="E153" t="s">
        <v>23</v>
      </c>
      <c r="F153" t="s">
        <v>21</v>
      </c>
      <c r="G153" t="s">
        <v>129</v>
      </c>
      <c r="H153">
        <v>2.48652145404813E-3</v>
      </c>
      <c r="I153">
        <v>0</v>
      </c>
      <c r="J153">
        <v>0</v>
      </c>
      <c r="K153" s="3">
        <v>2.6368202057774401E-6</v>
      </c>
      <c r="L153">
        <v>0</v>
      </c>
      <c r="M153" t="b">
        <v>0</v>
      </c>
      <c r="N153" t="s">
        <v>20</v>
      </c>
    </row>
    <row r="154" spans="1:14" x14ac:dyDescent="0.2">
      <c r="A154" s="1" t="s">
        <v>64</v>
      </c>
      <c r="B154">
        <v>34</v>
      </c>
      <c r="C154" s="2">
        <v>44683</v>
      </c>
      <c r="D154" t="s">
        <v>128</v>
      </c>
      <c r="E154" t="s">
        <v>23</v>
      </c>
      <c r="F154" t="s">
        <v>22</v>
      </c>
      <c r="G154" t="s">
        <v>129</v>
      </c>
      <c r="H154">
        <v>2.48652145404813E-3</v>
      </c>
      <c r="I154">
        <v>0</v>
      </c>
      <c r="J154">
        <v>0</v>
      </c>
      <c r="K154" s="3">
        <v>2.6368202057774401E-5</v>
      </c>
      <c r="L154">
        <v>0</v>
      </c>
      <c r="M154" t="b">
        <v>0</v>
      </c>
      <c r="N154" t="s">
        <v>20</v>
      </c>
    </row>
    <row r="155" spans="1:14" x14ac:dyDescent="0.2">
      <c r="A155" s="1" t="s">
        <v>64</v>
      </c>
      <c r="B155">
        <v>31</v>
      </c>
      <c r="C155" s="2">
        <v>44685</v>
      </c>
      <c r="D155" t="s">
        <v>130</v>
      </c>
      <c r="E155" t="s">
        <v>17</v>
      </c>
      <c r="F155" t="s">
        <v>18</v>
      </c>
      <c r="G155" t="s">
        <v>131</v>
      </c>
      <c r="H155">
        <v>0</v>
      </c>
      <c r="I155">
        <v>0</v>
      </c>
      <c r="J155">
        <v>0</v>
      </c>
      <c r="K155">
        <v>0</v>
      </c>
      <c r="L155">
        <v>0</v>
      </c>
      <c r="M155" t="b">
        <v>0</v>
      </c>
      <c r="N155" t="s">
        <v>20</v>
      </c>
    </row>
    <row r="156" spans="1:14" x14ac:dyDescent="0.2">
      <c r="A156" s="1" t="s">
        <v>64</v>
      </c>
      <c r="B156">
        <v>31</v>
      </c>
      <c r="C156" s="2">
        <v>44685</v>
      </c>
      <c r="D156" t="s">
        <v>130</v>
      </c>
      <c r="E156" t="s">
        <v>17</v>
      </c>
      <c r="F156" t="s">
        <v>21</v>
      </c>
      <c r="G156" t="s">
        <v>131</v>
      </c>
      <c r="H156">
        <v>0</v>
      </c>
      <c r="I156">
        <v>0</v>
      </c>
      <c r="J156">
        <v>0</v>
      </c>
      <c r="K156">
        <v>0</v>
      </c>
      <c r="L156">
        <v>0</v>
      </c>
      <c r="M156" t="b">
        <v>0</v>
      </c>
      <c r="N156" t="s">
        <v>20</v>
      </c>
    </row>
    <row r="157" spans="1:14" x14ac:dyDescent="0.2">
      <c r="A157" s="1" t="s">
        <v>64</v>
      </c>
      <c r="B157">
        <v>31</v>
      </c>
      <c r="C157" s="2">
        <v>44685</v>
      </c>
      <c r="D157" t="s">
        <v>130</v>
      </c>
      <c r="E157" t="s">
        <v>17</v>
      </c>
      <c r="F157" t="s">
        <v>22</v>
      </c>
      <c r="G157" t="s">
        <v>131</v>
      </c>
      <c r="H157">
        <v>0</v>
      </c>
      <c r="I157">
        <v>0</v>
      </c>
      <c r="J157">
        <v>0</v>
      </c>
      <c r="K157" s="3">
        <v>2.7820306783796302E-5</v>
      </c>
      <c r="L157">
        <v>0</v>
      </c>
      <c r="M157" t="b">
        <v>0</v>
      </c>
      <c r="N157" t="s">
        <v>20</v>
      </c>
    </row>
    <row r="158" spans="1:14" x14ac:dyDescent="0.2">
      <c r="A158" s="1" t="s">
        <v>64</v>
      </c>
      <c r="B158">
        <v>31</v>
      </c>
      <c r="C158" s="2">
        <v>44685</v>
      </c>
      <c r="D158" t="s">
        <v>132</v>
      </c>
      <c r="E158" t="s">
        <v>23</v>
      </c>
      <c r="F158" t="s">
        <v>18</v>
      </c>
      <c r="G158" t="s">
        <v>133</v>
      </c>
      <c r="H158">
        <v>0</v>
      </c>
      <c r="I158">
        <v>0</v>
      </c>
      <c r="J158">
        <v>0</v>
      </c>
      <c r="K158">
        <v>0</v>
      </c>
      <c r="L158">
        <v>0</v>
      </c>
      <c r="M158" t="b">
        <v>0</v>
      </c>
      <c r="N158" t="s">
        <v>20</v>
      </c>
    </row>
    <row r="159" spans="1:14" x14ac:dyDescent="0.2">
      <c r="A159" s="1" t="s">
        <v>64</v>
      </c>
      <c r="B159">
        <v>31</v>
      </c>
      <c r="C159" s="2">
        <v>44685</v>
      </c>
      <c r="D159" t="s">
        <v>132</v>
      </c>
      <c r="E159" t="s">
        <v>23</v>
      </c>
      <c r="F159" t="s">
        <v>21</v>
      </c>
      <c r="G159" t="s">
        <v>133</v>
      </c>
      <c r="H159">
        <v>0</v>
      </c>
      <c r="I159">
        <v>0</v>
      </c>
      <c r="J159">
        <v>0</v>
      </c>
      <c r="K159">
        <v>0</v>
      </c>
      <c r="L159">
        <v>0</v>
      </c>
      <c r="M159" t="b">
        <v>0</v>
      </c>
      <c r="N159" t="s">
        <v>20</v>
      </c>
    </row>
    <row r="160" spans="1:14" x14ac:dyDescent="0.2">
      <c r="A160" s="1" t="s">
        <v>64</v>
      </c>
      <c r="B160">
        <v>31</v>
      </c>
      <c r="C160" s="2">
        <v>44685</v>
      </c>
      <c r="D160" t="s">
        <v>132</v>
      </c>
      <c r="E160" t="s">
        <v>23</v>
      </c>
      <c r="F160" t="s">
        <v>22</v>
      </c>
      <c r="G160" t="s">
        <v>133</v>
      </c>
      <c r="H160">
        <v>0</v>
      </c>
      <c r="I160">
        <v>0</v>
      </c>
      <c r="J160">
        <v>0</v>
      </c>
      <c r="K160" s="3">
        <v>2.5206737256733899E-5</v>
      </c>
      <c r="L160">
        <v>0</v>
      </c>
      <c r="M160" t="b">
        <v>0</v>
      </c>
      <c r="N160" t="s">
        <v>20</v>
      </c>
    </row>
    <row r="161" spans="1:14" x14ac:dyDescent="0.2">
      <c r="A161" s="1" t="s">
        <v>15</v>
      </c>
      <c r="B161">
        <v>44</v>
      </c>
      <c r="C161" s="2">
        <v>44736</v>
      </c>
      <c r="D161" t="s">
        <v>134</v>
      </c>
      <c r="E161" t="s">
        <v>17</v>
      </c>
      <c r="F161" t="s">
        <v>18</v>
      </c>
      <c r="G161" t="s">
        <v>135</v>
      </c>
      <c r="H161">
        <v>0</v>
      </c>
      <c r="I161">
        <v>0</v>
      </c>
      <c r="J161">
        <v>0</v>
      </c>
      <c r="K161">
        <v>0</v>
      </c>
      <c r="L161">
        <v>0</v>
      </c>
      <c r="M161" t="b">
        <v>0</v>
      </c>
      <c r="N161" t="s">
        <v>20</v>
      </c>
    </row>
    <row r="162" spans="1:14" x14ac:dyDescent="0.2">
      <c r="A162" s="1" t="s">
        <v>15</v>
      </c>
      <c r="B162">
        <v>44</v>
      </c>
      <c r="C162" s="2">
        <v>44736</v>
      </c>
      <c r="D162" t="s">
        <v>134</v>
      </c>
      <c r="E162" t="s">
        <v>17</v>
      </c>
      <c r="F162" t="s">
        <v>21</v>
      </c>
      <c r="G162" t="s">
        <v>135</v>
      </c>
      <c r="H162">
        <v>0</v>
      </c>
      <c r="I162">
        <v>0</v>
      </c>
      <c r="J162">
        <v>0</v>
      </c>
      <c r="K162" s="3">
        <v>2.25430195957285E-5</v>
      </c>
      <c r="L162">
        <v>0</v>
      </c>
      <c r="M162" t="b">
        <v>0</v>
      </c>
      <c r="N162" t="s">
        <v>20</v>
      </c>
    </row>
    <row r="163" spans="1:14" x14ac:dyDescent="0.2">
      <c r="A163" s="1" t="s">
        <v>15</v>
      </c>
      <c r="B163">
        <v>44</v>
      </c>
      <c r="C163" s="2">
        <v>44736</v>
      </c>
      <c r="D163" t="s">
        <v>134</v>
      </c>
      <c r="E163" t="s">
        <v>17</v>
      </c>
      <c r="F163" t="s">
        <v>22</v>
      </c>
      <c r="G163" t="s">
        <v>135</v>
      </c>
      <c r="H163">
        <v>0</v>
      </c>
      <c r="I163">
        <v>0</v>
      </c>
      <c r="J163">
        <v>0</v>
      </c>
      <c r="K163" s="3">
        <v>2.50477995508094E-5</v>
      </c>
      <c r="L163">
        <v>0</v>
      </c>
      <c r="M163" t="b">
        <v>0</v>
      </c>
      <c r="N163" t="s">
        <v>20</v>
      </c>
    </row>
    <row r="164" spans="1:14" x14ac:dyDescent="0.2">
      <c r="A164" s="1" t="s">
        <v>15</v>
      </c>
      <c r="B164">
        <v>44</v>
      </c>
      <c r="C164" s="2">
        <v>44736</v>
      </c>
      <c r="D164" t="s">
        <v>134</v>
      </c>
      <c r="E164" t="s">
        <v>23</v>
      </c>
      <c r="F164" t="s">
        <v>18</v>
      </c>
      <c r="G164" t="s">
        <v>136</v>
      </c>
      <c r="H164">
        <v>0</v>
      </c>
      <c r="I164">
        <v>0</v>
      </c>
      <c r="J164">
        <v>0</v>
      </c>
      <c r="K164">
        <v>0</v>
      </c>
      <c r="L164">
        <v>0</v>
      </c>
      <c r="M164" t="b">
        <v>0</v>
      </c>
      <c r="N164" t="s">
        <v>20</v>
      </c>
    </row>
    <row r="165" spans="1:14" x14ac:dyDescent="0.2">
      <c r="A165" s="1" t="s">
        <v>15</v>
      </c>
      <c r="B165">
        <v>44</v>
      </c>
      <c r="C165" s="2">
        <v>44736</v>
      </c>
      <c r="D165" t="s">
        <v>134</v>
      </c>
      <c r="E165" t="s">
        <v>23</v>
      </c>
      <c r="F165" t="s">
        <v>21</v>
      </c>
      <c r="G165" t="s">
        <v>136</v>
      </c>
      <c r="H165">
        <v>0</v>
      </c>
      <c r="I165">
        <v>0</v>
      </c>
      <c r="J165">
        <v>0</v>
      </c>
      <c r="K165">
        <v>0</v>
      </c>
      <c r="L165">
        <v>0</v>
      </c>
      <c r="M165" t="b">
        <v>0</v>
      </c>
      <c r="N165" t="s">
        <v>20</v>
      </c>
    </row>
    <row r="166" spans="1:14" x14ac:dyDescent="0.2">
      <c r="A166" s="1" t="s">
        <v>15</v>
      </c>
      <c r="B166">
        <v>44</v>
      </c>
      <c r="C166" s="2">
        <v>44736</v>
      </c>
      <c r="D166" t="s">
        <v>134</v>
      </c>
      <c r="E166" t="s">
        <v>23</v>
      </c>
      <c r="F166" t="s">
        <v>22</v>
      </c>
      <c r="G166" t="s">
        <v>136</v>
      </c>
      <c r="H166">
        <v>0</v>
      </c>
      <c r="I166">
        <v>0</v>
      </c>
      <c r="J166">
        <v>0</v>
      </c>
      <c r="K166" s="3">
        <v>2.51247443557261E-5</v>
      </c>
      <c r="L166">
        <v>0</v>
      </c>
      <c r="M166" t="b">
        <v>0</v>
      </c>
      <c r="N166" t="s">
        <v>20</v>
      </c>
    </row>
    <row r="167" spans="1:14" x14ac:dyDescent="0.2">
      <c r="A167" s="1" t="s">
        <v>25</v>
      </c>
      <c r="B167">
        <v>63</v>
      </c>
      <c r="C167" s="2">
        <v>44761</v>
      </c>
      <c r="D167" t="s">
        <v>137</v>
      </c>
      <c r="E167" t="s">
        <v>17</v>
      </c>
      <c r="F167" t="s">
        <v>18</v>
      </c>
      <c r="G167" t="s">
        <v>138</v>
      </c>
      <c r="H167">
        <v>0</v>
      </c>
      <c r="I167">
        <v>0</v>
      </c>
      <c r="J167">
        <v>0</v>
      </c>
      <c r="K167" s="3">
        <v>2.5082353728073799E-6</v>
      </c>
      <c r="L167">
        <v>0</v>
      </c>
      <c r="M167" t="b">
        <v>0</v>
      </c>
      <c r="N167" t="s">
        <v>20</v>
      </c>
    </row>
    <row r="168" spans="1:14" x14ac:dyDescent="0.2">
      <c r="A168" s="1" t="s">
        <v>25</v>
      </c>
      <c r="B168">
        <v>63</v>
      </c>
      <c r="C168" s="2">
        <v>44761</v>
      </c>
      <c r="D168" t="s">
        <v>137</v>
      </c>
      <c r="E168" t="s">
        <v>17</v>
      </c>
      <c r="F168" t="s">
        <v>21</v>
      </c>
      <c r="G168" t="s">
        <v>138</v>
      </c>
      <c r="H168">
        <v>0</v>
      </c>
      <c r="I168">
        <v>0</v>
      </c>
      <c r="J168">
        <v>0</v>
      </c>
      <c r="K168" s="3">
        <v>2.5082353728073799E-6</v>
      </c>
      <c r="L168">
        <v>0</v>
      </c>
      <c r="M168" t="b">
        <v>0</v>
      </c>
      <c r="N168" t="s">
        <v>20</v>
      </c>
    </row>
    <row r="169" spans="1:14" x14ac:dyDescent="0.2">
      <c r="A169" s="1" t="s">
        <v>25</v>
      </c>
      <c r="B169">
        <v>63</v>
      </c>
      <c r="C169" s="2">
        <v>44761</v>
      </c>
      <c r="D169" t="s">
        <v>137</v>
      </c>
      <c r="E169" t="s">
        <v>17</v>
      </c>
      <c r="F169" t="s">
        <v>22</v>
      </c>
      <c r="G169" t="s">
        <v>138</v>
      </c>
      <c r="H169">
        <v>0</v>
      </c>
      <c r="I169">
        <v>0</v>
      </c>
      <c r="J169">
        <v>0</v>
      </c>
      <c r="K169" s="3">
        <v>2.5082353728073801E-5</v>
      </c>
      <c r="L169">
        <v>0</v>
      </c>
      <c r="M169" t="b">
        <v>0</v>
      </c>
      <c r="N169" t="s">
        <v>20</v>
      </c>
    </row>
    <row r="170" spans="1:14" x14ac:dyDescent="0.2">
      <c r="A170" s="1" t="s">
        <v>25</v>
      </c>
      <c r="B170">
        <v>63</v>
      </c>
      <c r="C170" s="2">
        <v>44761</v>
      </c>
      <c r="D170" t="s">
        <v>137</v>
      </c>
      <c r="E170" t="s">
        <v>23</v>
      </c>
      <c r="F170" t="s">
        <v>18</v>
      </c>
      <c r="G170" t="s">
        <v>139</v>
      </c>
      <c r="H170" s="3">
        <v>8.3808527685309E-7</v>
      </c>
      <c r="I170">
        <v>0</v>
      </c>
      <c r="J170">
        <v>0</v>
      </c>
      <c r="K170" s="3">
        <v>2.5142558305592699E-6</v>
      </c>
      <c r="L170">
        <v>0</v>
      </c>
      <c r="M170" t="b">
        <v>0</v>
      </c>
      <c r="N170" t="s">
        <v>20</v>
      </c>
    </row>
    <row r="171" spans="1:14" x14ac:dyDescent="0.2">
      <c r="A171" s="1" t="s">
        <v>25</v>
      </c>
      <c r="B171">
        <v>63</v>
      </c>
      <c r="C171" s="2">
        <v>44761</v>
      </c>
      <c r="D171" t="s">
        <v>137</v>
      </c>
      <c r="E171" t="s">
        <v>23</v>
      </c>
      <c r="F171" t="s">
        <v>21</v>
      </c>
      <c r="G171" t="s">
        <v>139</v>
      </c>
      <c r="H171" s="3">
        <v>8.3808527685309E-7</v>
      </c>
      <c r="I171">
        <v>0</v>
      </c>
      <c r="J171">
        <v>0</v>
      </c>
      <c r="K171" s="3">
        <v>2.5142558305592699E-6</v>
      </c>
      <c r="L171">
        <v>0</v>
      </c>
      <c r="M171" t="b">
        <v>0</v>
      </c>
      <c r="N171" t="s">
        <v>20</v>
      </c>
    </row>
    <row r="172" spans="1:14" x14ac:dyDescent="0.2">
      <c r="A172" s="1" t="s">
        <v>25</v>
      </c>
      <c r="B172">
        <v>63</v>
      </c>
      <c r="C172" s="2">
        <v>44761</v>
      </c>
      <c r="D172" t="s">
        <v>137</v>
      </c>
      <c r="E172" t="s">
        <v>23</v>
      </c>
      <c r="F172" t="s">
        <v>22</v>
      </c>
      <c r="G172" t="s">
        <v>139</v>
      </c>
      <c r="H172" s="3">
        <v>8.3808527685309E-7</v>
      </c>
      <c r="I172">
        <v>0</v>
      </c>
      <c r="J172">
        <v>0</v>
      </c>
      <c r="K172" s="3">
        <v>2.51425583055927E-5</v>
      </c>
      <c r="L172">
        <v>0</v>
      </c>
      <c r="M172" t="b">
        <v>0</v>
      </c>
      <c r="N172" t="s">
        <v>20</v>
      </c>
    </row>
    <row r="173" spans="1:14" x14ac:dyDescent="0.2">
      <c r="A173" s="1" t="s">
        <v>25</v>
      </c>
      <c r="B173">
        <v>65</v>
      </c>
      <c r="C173" s="2">
        <v>44760</v>
      </c>
      <c r="D173" t="s">
        <v>140</v>
      </c>
      <c r="E173" t="s">
        <v>17</v>
      </c>
      <c r="F173" t="s">
        <v>18</v>
      </c>
      <c r="G173" t="s">
        <v>141</v>
      </c>
      <c r="H173">
        <v>0</v>
      </c>
      <c r="I173">
        <v>0</v>
      </c>
      <c r="J173">
        <v>0</v>
      </c>
      <c r="K173" s="3">
        <v>2.5051438954653502E-6</v>
      </c>
      <c r="L173">
        <v>0</v>
      </c>
      <c r="M173" t="b">
        <v>0</v>
      </c>
      <c r="N173" t="s">
        <v>20</v>
      </c>
    </row>
    <row r="174" spans="1:14" x14ac:dyDescent="0.2">
      <c r="A174" s="1" t="s">
        <v>25</v>
      </c>
      <c r="B174">
        <v>65</v>
      </c>
      <c r="C174" s="2">
        <v>44760</v>
      </c>
      <c r="D174" t="s">
        <v>140</v>
      </c>
      <c r="E174" t="s">
        <v>17</v>
      </c>
      <c r="F174" t="s">
        <v>21</v>
      </c>
      <c r="G174" t="s">
        <v>141</v>
      </c>
      <c r="H174">
        <v>0</v>
      </c>
      <c r="I174">
        <v>0</v>
      </c>
      <c r="J174">
        <v>0</v>
      </c>
      <c r="K174">
        <v>0</v>
      </c>
      <c r="L174">
        <v>0</v>
      </c>
      <c r="M174" t="b">
        <v>0</v>
      </c>
      <c r="N174" t="s">
        <v>20</v>
      </c>
    </row>
    <row r="175" spans="1:14" x14ac:dyDescent="0.2">
      <c r="A175" s="1" t="s">
        <v>25</v>
      </c>
      <c r="B175">
        <v>65</v>
      </c>
      <c r="C175" s="2">
        <v>44760</v>
      </c>
      <c r="D175" t="s">
        <v>140</v>
      </c>
      <c r="E175" t="s">
        <v>17</v>
      </c>
      <c r="F175" t="s">
        <v>22</v>
      </c>
      <c r="G175" t="s">
        <v>141</v>
      </c>
      <c r="H175">
        <v>0</v>
      </c>
      <c r="I175">
        <v>0</v>
      </c>
      <c r="J175">
        <v>0</v>
      </c>
      <c r="K175" s="3">
        <v>2.50514389546535E-5</v>
      </c>
      <c r="L175">
        <v>0</v>
      </c>
      <c r="M175" t="b">
        <v>0</v>
      </c>
      <c r="N175" t="s">
        <v>20</v>
      </c>
    </row>
    <row r="176" spans="1:14" x14ac:dyDescent="0.2">
      <c r="A176" s="1" t="s">
        <v>25</v>
      </c>
      <c r="B176">
        <v>65</v>
      </c>
      <c r="C176" s="2">
        <v>44760</v>
      </c>
      <c r="D176" t="s">
        <v>142</v>
      </c>
      <c r="E176" t="s">
        <v>23</v>
      </c>
      <c r="F176" t="s">
        <v>18</v>
      </c>
      <c r="G176" t="s">
        <v>143</v>
      </c>
      <c r="H176">
        <v>0</v>
      </c>
      <c r="I176">
        <v>0</v>
      </c>
      <c r="J176">
        <v>0</v>
      </c>
      <c r="K176" s="3">
        <v>2.5093137361506699E-6</v>
      </c>
      <c r="L176">
        <v>0</v>
      </c>
      <c r="M176" t="b">
        <v>0</v>
      </c>
      <c r="N176" t="s">
        <v>20</v>
      </c>
    </row>
    <row r="177" spans="1:14" x14ac:dyDescent="0.2">
      <c r="A177" s="1" t="s">
        <v>25</v>
      </c>
      <c r="B177">
        <v>65</v>
      </c>
      <c r="C177" s="2">
        <v>44760</v>
      </c>
      <c r="D177" t="s">
        <v>142</v>
      </c>
      <c r="E177" t="s">
        <v>23</v>
      </c>
      <c r="F177" t="s">
        <v>21</v>
      </c>
      <c r="G177" t="s">
        <v>143</v>
      </c>
      <c r="H177">
        <v>0</v>
      </c>
      <c r="I177">
        <v>0</v>
      </c>
      <c r="J177">
        <v>0</v>
      </c>
      <c r="K177" s="3">
        <v>2.5093137361506699E-6</v>
      </c>
      <c r="L177">
        <v>0</v>
      </c>
      <c r="M177" t="b">
        <v>0</v>
      </c>
      <c r="N177" t="s">
        <v>20</v>
      </c>
    </row>
    <row r="178" spans="1:14" x14ac:dyDescent="0.2">
      <c r="A178" s="1" t="s">
        <v>25</v>
      </c>
      <c r="B178">
        <v>65</v>
      </c>
      <c r="C178" s="2">
        <v>44760</v>
      </c>
      <c r="D178" t="s">
        <v>142</v>
      </c>
      <c r="E178" t="s">
        <v>23</v>
      </c>
      <c r="F178" t="s">
        <v>22</v>
      </c>
      <c r="G178" t="s">
        <v>143</v>
      </c>
      <c r="H178">
        <v>0</v>
      </c>
      <c r="I178">
        <v>0</v>
      </c>
      <c r="J178">
        <v>0</v>
      </c>
      <c r="K178" s="3">
        <v>2.2583823625356099E-5</v>
      </c>
      <c r="L178">
        <v>0</v>
      </c>
      <c r="M178" t="b">
        <v>0</v>
      </c>
      <c r="N178" t="s">
        <v>20</v>
      </c>
    </row>
    <row r="179" spans="1:14" x14ac:dyDescent="0.2">
      <c r="A179" s="1" t="s">
        <v>64</v>
      </c>
      <c r="B179">
        <v>27</v>
      </c>
      <c r="C179" s="2">
        <v>44683</v>
      </c>
      <c r="D179" t="s">
        <v>144</v>
      </c>
      <c r="E179" t="s">
        <v>17</v>
      </c>
      <c r="F179" t="s">
        <v>18</v>
      </c>
      <c r="G179" t="s">
        <v>145</v>
      </c>
      <c r="H179">
        <v>0</v>
      </c>
      <c r="I179">
        <v>0</v>
      </c>
      <c r="J179">
        <v>0</v>
      </c>
      <c r="K179">
        <v>0</v>
      </c>
      <c r="L179">
        <v>0</v>
      </c>
      <c r="M179" t="b">
        <v>0</v>
      </c>
      <c r="N179" t="s">
        <v>20</v>
      </c>
    </row>
    <row r="180" spans="1:14" x14ac:dyDescent="0.2">
      <c r="A180" s="1" t="s">
        <v>64</v>
      </c>
      <c r="B180">
        <v>27</v>
      </c>
      <c r="C180" s="2">
        <v>44683</v>
      </c>
      <c r="D180" t="s">
        <v>144</v>
      </c>
      <c r="E180" t="s">
        <v>17</v>
      </c>
      <c r="F180" t="s">
        <v>21</v>
      </c>
      <c r="G180" t="s">
        <v>145</v>
      </c>
      <c r="H180">
        <v>0</v>
      </c>
      <c r="I180">
        <v>0</v>
      </c>
      <c r="J180">
        <v>0</v>
      </c>
      <c r="K180" s="3">
        <v>2.5098007720147098E-5</v>
      </c>
      <c r="L180">
        <v>0</v>
      </c>
      <c r="M180" t="b">
        <v>0</v>
      </c>
      <c r="N180" t="s">
        <v>20</v>
      </c>
    </row>
    <row r="181" spans="1:14" x14ac:dyDescent="0.2">
      <c r="A181" s="1" t="s">
        <v>64</v>
      </c>
      <c r="B181">
        <v>27</v>
      </c>
      <c r="C181" s="2">
        <v>44683</v>
      </c>
      <c r="D181" t="s">
        <v>144</v>
      </c>
      <c r="E181" t="s">
        <v>17</v>
      </c>
      <c r="F181" t="s">
        <v>22</v>
      </c>
      <c r="G181" t="s">
        <v>145</v>
      </c>
      <c r="H181">
        <v>0</v>
      </c>
      <c r="I181">
        <v>0</v>
      </c>
      <c r="J181">
        <v>0</v>
      </c>
      <c r="K181" s="3">
        <v>2.5098007720147098E-5</v>
      </c>
      <c r="L181">
        <v>0</v>
      </c>
      <c r="M181" t="b">
        <v>0</v>
      </c>
      <c r="N181" t="s">
        <v>20</v>
      </c>
    </row>
    <row r="182" spans="1:14" x14ac:dyDescent="0.2">
      <c r="A182" s="1" t="s">
        <v>64</v>
      </c>
      <c r="B182">
        <v>27</v>
      </c>
      <c r="C182" s="2">
        <v>44683</v>
      </c>
      <c r="D182" t="s">
        <v>146</v>
      </c>
      <c r="E182" t="s">
        <v>23</v>
      </c>
      <c r="F182" t="s">
        <v>18</v>
      </c>
      <c r="G182" t="s">
        <v>147</v>
      </c>
      <c r="H182">
        <v>3.3247763503144699E-4</v>
      </c>
      <c r="I182">
        <v>0</v>
      </c>
      <c r="J182">
        <v>0</v>
      </c>
      <c r="K182">
        <v>0</v>
      </c>
      <c r="L182">
        <v>0</v>
      </c>
      <c r="M182" t="b">
        <v>0</v>
      </c>
      <c r="N182" t="s">
        <v>20</v>
      </c>
    </row>
    <row r="183" spans="1:14" x14ac:dyDescent="0.2">
      <c r="A183" s="1" t="s">
        <v>64</v>
      </c>
      <c r="B183">
        <v>27</v>
      </c>
      <c r="C183" s="2">
        <v>44683</v>
      </c>
      <c r="D183" t="s">
        <v>146</v>
      </c>
      <c r="E183" t="s">
        <v>23</v>
      </c>
      <c r="F183" t="s">
        <v>21</v>
      </c>
      <c r="G183" t="s">
        <v>147</v>
      </c>
      <c r="H183">
        <v>3.3247763503144699E-4</v>
      </c>
      <c r="I183">
        <v>0</v>
      </c>
      <c r="J183">
        <v>0</v>
      </c>
      <c r="K183" s="3">
        <v>2.33903863841219E-5</v>
      </c>
      <c r="L183">
        <v>0</v>
      </c>
      <c r="M183" t="b">
        <v>0</v>
      </c>
      <c r="N183" t="s">
        <v>20</v>
      </c>
    </row>
    <row r="184" spans="1:14" x14ac:dyDescent="0.2">
      <c r="A184" s="1" t="s">
        <v>64</v>
      </c>
      <c r="B184">
        <v>27</v>
      </c>
      <c r="C184" s="2">
        <v>44683</v>
      </c>
      <c r="D184" t="s">
        <v>146</v>
      </c>
      <c r="E184" t="s">
        <v>23</v>
      </c>
      <c r="F184" t="s">
        <v>22</v>
      </c>
      <c r="G184" t="s">
        <v>147</v>
      </c>
      <c r="H184">
        <v>3.3247763503144699E-4</v>
      </c>
      <c r="I184">
        <v>0</v>
      </c>
      <c r="J184">
        <v>0</v>
      </c>
      <c r="K184" s="3">
        <v>2.5061128268702002E-5</v>
      </c>
      <c r="L184">
        <v>0</v>
      </c>
      <c r="M184" t="b">
        <v>0</v>
      </c>
      <c r="N184" t="s">
        <v>20</v>
      </c>
    </row>
    <row r="185" spans="1:14" x14ac:dyDescent="0.2">
      <c r="A185" s="1" t="s">
        <v>39</v>
      </c>
      <c r="B185">
        <v>51</v>
      </c>
      <c r="C185" s="2">
        <v>44746</v>
      </c>
      <c r="D185" t="s">
        <v>148</v>
      </c>
      <c r="E185" t="s">
        <v>17</v>
      </c>
      <c r="F185" t="s">
        <v>18</v>
      </c>
      <c r="G185" t="s">
        <v>149</v>
      </c>
      <c r="H185">
        <v>0</v>
      </c>
      <c r="I185">
        <v>0</v>
      </c>
      <c r="J185">
        <v>0</v>
      </c>
      <c r="K185">
        <v>0</v>
      </c>
      <c r="L185">
        <v>0</v>
      </c>
      <c r="M185" t="b">
        <v>0</v>
      </c>
      <c r="N185" t="s">
        <v>20</v>
      </c>
    </row>
    <row r="186" spans="1:14" x14ac:dyDescent="0.2">
      <c r="A186" s="1" t="s">
        <v>39</v>
      </c>
      <c r="B186">
        <v>51</v>
      </c>
      <c r="C186" s="2">
        <v>44746</v>
      </c>
      <c r="D186" t="s">
        <v>148</v>
      </c>
      <c r="E186" t="s">
        <v>17</v>
      </c>
      <c r="F186" t="s">
        <v>21</v>
      </c>
      <c r="G186" t="s">
        <v>149</v>
      </c>
      <c r="H186">
        <v>0</v>
      </c>
      <c r="I186">
        <v>0</v>
      </c>
      <c r="J186">
        <v>0</v>
      </c>
      <c r="K186">
        <v>0</v>
      </c>
      <c r="L186">
        <v>0</v>
      </c>
      <c r="M186" t="b">
        <v>0</v>
      </c>
      <c r="N186" t="s">
        <v>20</v>
      </c>
    </row>
    <row r="187" spans="1:14" x14ac:dyDescent="0.2">
      <c r="A187" s="1" t="s">
        <v>39</v>
      </c>
      <c r="B187">
        <v>51</v>
      </c>
      <c r="C187" s="2">
        <v>44746</v>
      </c>
      <c r="D187" t="s">
        <v>148</v>
      </c>
      <c r="E187" t="s">
        <v>17</v>
      </c>
      <c r="F187" t="s">
        <v>22</v>
      </c>
      <c r="G187" t="s">
        <v>149</v>
      </c>
      <c r="H187">
        <v>0</v>
      </c>
      <c r="I187">
        <v>0</v>
      </c>
      <c r="J187">
        <v>0</v>
      </c>
      <c r="K187" s="3">
        <v>2.6370682130434599E-5</v>
      </c>
      <c r="L187">
        <v>0</v>
      </c>
      <c r="M187" t="b">
        <v>0</v>
      </c>
      <c r="N187" t="s">
        <v>20</v>
      </c>
    </row>
    <row r="188" spans="1:14" x14ac:dyDescent="0.2">
      <c r="A188" s="1" t="s">
        <v>39</v>
      </c>
      <c r="B188">
        <v>56</v>
      </c>
      <c r="C188" s="2">
        <v>44750</v>
      </c>
      <c r="D188" t="s">
        <v>150</v>
      </c>
      <c r="E188" t="s">
        <v>17</v>
      </c>
      <c r="F188" t="s">
        <v>18</v>
      </c>
      <c r="G188" t="s">
        <v>151</v>
      </c>
      <c r="H188">
        <v>0</v>
      </c>
      <c r="I188">
        <v>0</v>
      </c>
      <c r="J188">
        <v>0</v>
      </c>
      <c r="K188">
        <v>0</v>
      </c>
      <c r="L188">
        <v>0</v>
      </c>
      <c r="M188" t="b">
        <v>0</v>
      </c>
      <c r="N188" t="s">
        <v>20</v>
      </c>
    </row>
    <row r="189" spans="1:14" x14ac:dyDescent="0.2">
      <c r="A189" s="1" t="s">
        <v>39</v>
      </c>
      <c r="B189">
        <v>56</v>
      </c>
      <c r="C189" s="2">
        <v>44750</v>
      </c>
      <c r="D189" t="s">
        <v>150</v>
      </c>
      <c r="E189" t="s">
        <v>17</v>
      </c>
      <c r="F189" t="s">
        <v>21</v>
      </c>
      <c r="G189" t="s">
        <v>151</v>
      </c>
      <c r="H189">
        <v>0</v>
      </c>
      <c r="I189">
        <v>0</v>
      </c>
      <c r="J189">
        <v>0</v>
      </c>
      <c r="K189">
        <v>0</v>
      </c>
      <c r="L189">
        <v>0</v>
      </c>
      <c r="M189" t="b">
        <v>0</v>
      </c>
      <c r="N189" t="s">
        <v>20</v>
      </c>
    </row>
    <row r="190" spans="1:14" x14ac:dyDescent="0.2">
      <c r="A190" s="1" t="s">
        <v>39</v>
      </c>
      <c r="B190">
        <v>56</v>
      </c>
      <c r="C190" s="2">
        <v>44750</v>
      </c>
      <c r="D190" t="s">
        <v>150</v>
      </c>
      <c r="E190" t="s">
        <v>17</v>
      </c>
      <c r="F190" t="s">
        <v>22</v>
      </c>
      <c r="G190" t="s">
        <v>151</v>
      </c>
      <c r="H190">
        <v>0</v>
      </c>
      <c r="I190">
        <v>0</v>
      </c>
      <c r="J190">
        <v>0</v>
      </c>
      <c r="K190" s="3">
        <v>2.5099687592555099E-5</v>
      </c>
      <c r="L190">
        <v>0</v>
      </c>
      <c r="M190" t="b">
        <v>0</v>
      </c>
      <c r="N190" t="s">
        <v>20</v>
      </c>
    </row>
    <row r="191" spans="1:14" x14ac:dyDescent="0.2">
      <c r="A191" s="1" t="s">
        <v>39</v>
      </c>
      <c r="B191">
        <v>56</v>
      </c>
      <c r="C191" s="2">
        <v>44750</v>
      </c>
      <c r="D191" t="s">
        <v>152</v>
      </c>
      <c r="E191" t="s">
        <v>23</v>
      </c>
      <c r="F191" t="s">
        <v>18</v>
      </c>
      <c r="G191" t="s">
        <v>153</v>
      </c>
      <c r="H191">
        <v>0</v>
      </c>
      <c r="I191">
        <v>0</v>
      </c>
      <c r="J191">
        <v>0</v>
      </c>
      <c r="K191">
        <v>0</v>
      </c>
      <c r="L191">
        <v>0</v>
      </c>
      <c r="M191" t="b">
        <v>0</v>
      </c>
      <c r="N191" t="s">
        <v>20</v>
      </c>
    </row>
    <row r="192" spans="1:14" x14ac:dyDescent="0.2">
      <c r="A192" s="1" t="s">
        <v>39</v>
      </c>
      <c r="B192">
        <v>56</v>
      </c>
      <c r="C192" s="2">
        <v>44750</v>
      </c>
      <c r="D192" t="s">
        <v>152</v>
      </c>
      <c r="E192" t="s">
        <v>23</v>
      </c>
      <c r="F192" t="s">
        <v>21</v>
      </c>
      <c r="G192" t="s">
        <v>153</v>
      </c>
      <c r="H192">
        <v>0</v>
      </c>
      <c r="I192">
        <v>0</v>
      </c>
      <c r="J192">
        <v>0</v>
      </c>
      <c r="K192">
        <v>0</v>
      </c>
      <c r="L192">
        <v>0</v>
      </c>
      <c r="M192" t="b">
        <v>0</v>
      </c>
      <c r="N192" t="s">
        <v>20</v>
      </c>
    </row>
    <row r="193" spans="1:14" x14ac:dyDescent="0.2">
      <c r="A193" s="1" t="s">
        <v>39</v>
      </c>
      <c r="B193">
        <v>56</v>
      </c>
      <c r="C193" s="2">
        <v>44750</v>
      </c>
      <c r="D193" t="s">
        <v>152</v>
      </c>
      <c r="E193" t="s">
        <v>23</v>
      </c>
      <c r="F193" t="s">
        <v>22</v>
      </c>
      <c r="G193" t="s">
        <v>153</v>
      </c>
      <c r="H193">
        <v>0</v>
      </c>
      <c r="I193">
        <v>0</v>
      </c>
      <c r="J193">
        <v>0</v>
      </c>
      <c r="K193" s="3">
        <v>2.5810958816894399E-5</v>
      </c>
      <c r="L193">
        <v>0</v>
      </c>
      <c r="M193" t="b">
        <v>0</v>
      </c>
      <c r="N193" t="s">
        <v>20</v>
      </c>
    </row>
    <row r="194" spans="1:14" x14ac:dyDescent="0.2">
      <c r="A194" s="1" t="s">
        <v>39</v>
      </c>
      <c r="B194">
        <v>50</v>
      </c>
      <c r="C194" s="2">
        <v>44746</v>
      </c>
      <c r="D194" t="s">
        <v>154</v>
      </c>
      <c r="E194" t="s">
        <v>17</v>
      </c>
      <c r="F194" t="s">
        <v>18</v>
      </c>
      <c r="G194" t="s">
        <v>155</v>
      </c>
      <c r="H194">
        <v>0</v>
      </c>
      <c r="I194">
        <v>0</v>
      </c>
      <c r="J194">
        <v>0</v>
      </c>
      <c r="K194">
        <v>0</v>
      </c>
      <c r="L194">
        <v>0</v>
      </c>
      <c r="M194" t="b">
        <v>0</v>
      </c>
      <c r="N194" t="s">
        <v>20</v>
      </c>
    </row>
    <row r="195" spans="1:14" x14ac:dyDescent="0.2">
      <c r="A195" s="1" t="s">
        <v>39</v>
      </c>
      <c r="B195">
        <v>50</v>
      </c>
      <c r="C195" s="2">
        <v>44746</v>
      </c>
      <c r="D195" t="s">
        <v>154</v>
      </c>
      <c r="E195" t="s">
        <v>17</v>
      </c>
      <c r="F195" t="s">
        <v>21</v>
      </c>
      <c r="G195" t="s">
        <v>155</v>
      </c>
      <c r="H195">
        <v>0</v>
      </c>
      <c r="I195">
        <v>0</v>
      </c>
      <c r="J195">
        <v>0</v>
      </c>
      <c r="K195">
        <v>0</v>
      </c>
      <c r="L195">
        <v>0</v>
      </c>
      <c r="M195" t="b">
        <v>0</v>
      </c>
      <c r="N195" t="s">
        <v>20</v>
      </c>
    </row>
    <row r="196" spans="1:14" x14ac:dyDescent="0.2">
      <c r="A196" s="1" t="s">
        <v>39</v>
      </c>
      <c r="B196">
        <v>50</v>
      </c>
      <c r="C196" s="2">
        <v>44746</v>
      </c>
      <c r="D196" t="s">
        <v>154</v>
      </c>
      <c r="E196" t="s">
        <v>17</v>
      </c>
      <c r="F196" t="s">
        <v>22</v>
      </c>
      <c r="G196" t="s">
        <v>155</v>
      </c>
      <c r="H196">
        <v>0</v>
      </c>
      <c r="I196">
        <v>0</v>
      </c>
      <c r="J196">
        <v>0</v>
      </c>
      <c r="K196" s="3">
        <v>2.5039708804879701E-5</v>
      </c>
      <c r="L196">
        <v>0</v>
      </c>
      <c r="M196" t="b">
        <v>0</v>
      </c>
      <c r="N196" t="s">
        <v>20</v>
      </c>
    </row>
    <row r="197" spans="1:14" x14ac:dyDescent="0.2">
      <c r="A197" s="1" t="s">
        <v>39</v>
      </c>
      <c r="B197">
        <v>50</v>
      </c>
      <c r="C197" s="2">
        <v>44746</v>
      </c>
      <c r="D197" t="s">
        <v>156</v>
      </c>
      <c r="E197" t="s">
        <v>23</v>
      </c>
      <c r="F197" t="s">
        <v>18</v>
      </c>
      <c r="G197" t="s">
        <v>157</v>
      </c>
      <c r="H197">
        <v>0</v>
      </c>
      <c r="I197">
        <v>0</v>
      </c>
      <c r="J197">
        <v>0</v>
      </c>
      <c r="K197">
        <v>0</v>
      </c>
      <c r="L197">
        <v>0</v>
      </c>
      <c r="M197" t="b">
        <v>0</v>
      </c>
      <c r="N197" t="s">
        <v>20</v>
      </c>
    </row>
    <row r="198" spans="1:14" x14ac:dyDescent="0.2">
      <c r="A198" s="1" t="s">
        <v>39</v>
      </c>
      <c r="B198">
        <v>50</v>
      </c>
      <c r="C198" s="2">
        <v>44746</v>
      </c>
      <c r="D198" t="s">
        <v>156</v>
      </c>
      <c r="E198" t="s">
        <v>23</v>
      </c>
      <c r="F198" t="s">
        <v>21</v>
      </c>
      <c r="G198" t="s">
        <v>157</v>
      </c>
      <c r="H198">
        <v>0</v>
      </c>
      <c r="I198">
        <v>0</v>
      </c>
      <c r="J198">
        <v>0</v>
      </c>
      <c r="K198" s="3">
        <v>2.0977131570247301E-5</v>
      </c>
      <c r="L198">
        <v>0</v>
      </c>
      <c r="M198" t="b">
        <v>0</v>
      </c>
      <c r="N198" t="s">
        <v>20</v>
      </c>
    </row>
    <row r="199" spans="1:14" x14ac:dyDescent="0.2">
      <c r="A199" s="1" t="s">
        <v>39</v>
      </c>
      <c r="B199">
        <v>50</v>
      </c>
      <c r="C199" s="2">
        <v>44746</v>
      </c>
      <c r="D199" t="s">
        <v>156</v>
      </c>
      <c r="E199" t="s">
        <v>23</v>
      </c>
      <c r="F199" t="s">
        <v>22</v>
      </c>
      <c r="G199" t="s">
        <v>157</v>
      </c>
      <c r="H199">
        <v>0</v>
      </c>
      <c r="I199">
        <v>0</v>
      </c>
      <c r="J199">
        <v>0</v>
      </c>
      <c r="K199" s="3">
        <v>2.5172557884296799E-5</v>
      </c>
      <c r="L199">
        <v>0</v>
      </c>
      <c r="M199" t="b">
        <v>0</v>
      </c>
      <c r="N199" t="s">
        <v>20</v>
      </c>
    </row>
    <row r="200" spans="1:14" x14ac:dyDescent="0.2">
      <c r="A200" s="1" t="s">
        <v>39</v>
      </c>
      <c r="B200">
        <v>52</v>
      </c>
      <c r="C200" s="2">
        <v>44746</v>
      </c>
      <c r="D200" t="s">
        <v>158</v>
      </c>
      <c r="E200" t="s">
        <v>17</v>
      </c>
      <c r="F200" t="s">
        <v>18</v>
      </c>
      <c r="G200" t="s">
        <v>159</v>
      </c>
      <c r="H200">
        <v>0</v>
      </c>
      <c r="I200">
        <v>0</v>
      </c>
      <c r="J200">
        <v>0</v>
      </c>
      <c r="K200">
        <v>0</v>
      </c>
      <c r="L200">
        <v>0</v>
      </c>
      <c r="M200" t="b">
        <v>0</v>
      </c>
      <c r="N200" t="s">
        <v>20</v>
      </c>
    </row>
    <row r="201" spans="1:14" x14ac:dyDescent="0.2">
      <c r="A201" s="1" t="s">
        <v>39</v>
      </c>
      <c r="B201">
        <v>52</v>
      </c>
      <c r="C201" s="2">
        <v>44746</v>
      </c>
      <c r="D201" t="s">
        <v>158</v>
      </c>
      <c r="E201" t="s">
        <v>17</v>
      </c>
      <c r="F201" t="s">
        <v>21</v>
      </c>
      <c r="G201" t="s">
        <v>159</v>
      </c>
      <c r="H201">
        <v>0</v>
      </c>
      <c r="I201">
        <v>0</v>
      </c>
      <c r="J201">
        <v>0</v>
      </c>
      <c r="K201">
        <v>0</v>
      </c>
      <c r="L201">
        <v>0</v>
      </c>
      <c r="M201" t="b">
        <v>0</v>
      </c>
      <c r="N201" t="s">
        <v>20</v>
      </c>
    </row>
    <row r="202" spans="1:14" x14ac:dyDescent="0.2">
      <c r="A202" s="1" t="s">
        <v>39</v>
      </c>
      <c r="B202">
        <v>52</v>
      </c>
      <c r="C202" s="2">
        <v>44746</v>
      </c>
      <c r="D202" t="s">
        <v>158</v>
      </c>
      <c r="E202" t="s">
        <v>17</v>
      </c>
      <c r="F202" t="s">
        <v>22</v>
      </c>
      <c r="G202" t="s">
        <v>159</v>
      </c>
      <c r="H202">
        <v>0</v>
      </c>
      <c r="I202">
        <v>0</v>
      </c>
      <c r="J202">
        <v>0</v>
      </c>
      <c r="K202" s="3">
        <v>2.51054638694716E-5</v>
      </c>
      <c r="L202">
        <v>0</v>
      </c>
      <c r="M202" t="b">
        <v>0</v>
      </c>
      <c r="N202" t="s">
        <v>20</v>
      </c>
    </row>
    <row r="203" spans="1:14" x14ac:dyDescent="0.2">
      <c r="A203" s="1" t="s">
        <v>39</v>
      </c>
      <c r="B203">
        <v>52</v>
      </c>
      <c r="C203" s="2">
        <v>44746</v>
      </c>
      <c r="D203" t="s">
        <v>160</v>
      </c>
      <c r="E203" t="s">
        <v>23</v>
      </c>
      <c r="F203" t="s">
        <v>18</v>
      </c>
      <c r="G203" t="s">
        <v>161</v>
      </c>
      <c r="H203">
        <v>0</v>
      </c>
      <c r="I203">
        <v>0</v>
      </c>
      <c r="J203">
        <v>0</v>
      </c>
      <c r="K203">
        <v>0</v>
      </c>
      <c r="L203">
        <v>0</v>
      </c>
      <c r="M203" t="b">
        <v>0</v>
      </c>
      <c r="N203" t="s">
        <v>20</v>
      </c>
    </row>
    <row r="204" spans="1:14" x14ac:dyDescent="0.2">
      <c r="A204" s="1" t="s">
        <v>39</v>
      </c>
      <c r="B204">
        <v>52</v>
      </c>
      <c r="C204" s="2">
        <v>44746</v>
      </c>
      <c r="D204" t="s">
        <v>160</v>
      </c>
      <c r="E204" t="s">
        <v>23</v>
      </c>
      <c r="F204" t="s">
        <v>21</v>
      </c>
      <c r="G204" t="s">
        <v>161</v>
      </c>
      <c r="H204">
        <v>0</v>
      </c>
      <c r="I204">
        <v>0</v>
      </c>
      <c r="J204">
        <v>0</v>
      </c>
      <c r="K204" s="3">
        <v>2.2604583874726998E-5</v>
      </c>
      <c r="L204">
        <v>0</v>
      </c>
      <c r="M204" t="b">
        <v>0</v>
      </c>
      <c r="N204" t="s">
        <v>20</v>
      </c>
    </row>
    <row r="205" spans="1:14" x14ac:dyDescent="0.2">
      <c r="A205" s="1" t="s">
        <v>39</v>
      </c>
      <c r="B205">
        <v>52</v>
      </c>
      <c r="C205" s="2">
        <v>44746</v>
      </c>
      <c r="D205" t="s">
        <v>160</v>
      </c>
      <c r="E205" t="s">
        <v>23</v>
      </c>
      <c r="F205" t="s">
        <v>22</v>
      </c>
      <c r="G205" t="s">
        <v>161</v>
      </c>
      <c r="H205">
        <v>0</v>
      </c>
      <c r="I205">
        <v>0</v>
      </c>
      <c r="J205">
        <v>0</v>
      </c>
      <c r="K205" s="3">
        <v>2.51162043052523E-5</v>
      </c>
      <c r="L205">
        <v>0</v>
      </c>
      <c r="M205" t="b">
        <v>0</v>
      </c>
      <c r="N205" t="s">
        <v>20</v>
      </c>
    </row>
    <row r="206" spans="1:14" x14ac:dyDescent="0.2">
      <c r="A206" s="1" t="s">
        <v>64</v>
      </c>
      <c r="B206">
        <v>30</v>
      </c>
      <c r="C206" s="2">
        <v>44687</v>
      </c>
      <c r="D206" t="s">
        <v>162</v>
      </c>
      <c r="E206" t="s">
        <v>17</v>
      </c>
      <c r="F206" t="s">
        <v>18</v>
      </c>
      <c r="G206" t="s">
        <v>163</v>
      </c>
      <c r="H206">
        <v>0</v>
      </c>
      <c r="I206">
        <v>0</v>
      </c>
      <c r="J206">
        <v>0</v>
      </c>
      <c r="K206">
        <v>0</v>
      </c>
      <c r="L206">
        <v>0</v>
      </c>
      <c r="M206" t="b">
        <v>0</v>
      </c>
      <c r="N206" t="s">
        <v>20</v>
      </c>
    </row>
    <row r="207" spans="1:14" x14ac:dyDescent="0.2">
      <c r="A207" s="1" t="s">
        <v>64</v>
      </c>
      <c r="B207">
        <v>30</v>
      </c>
      <c r="C207" s="2">
        <v>44687</v>
      </c>
      <c r="D207" t="s">
        <v>162</v>
      </c>
      <c r="E207" t="s">
        <v>17</v>
      </c>
      <c r="F207" t="s">
        <v>21</v>
      </c>
      <c r="G207" t="s">
        <v>163</v>
      </c>
      <c r="H207">
        <v>0</v>
      </c>
      <c r="I207">
        <v>0</v>
      </c>
      <c r="J207">
        <v>0</v>
      </c>
      <c r="K207" s="3">
        <v>2.50127611401742E-5</v>
      </c>
      <c r="L207">
        <v>0</v>
      </c>
      <c r="M207" t="b">
        <v>0</v>
      </c>
      <c r="N207" t="s">
        <v>20</v>
      </c>
    </row>
    <row r="208" spans="1:14" x14ac:dyDescent="0.2">
      <c r="A208" s="1" t="s">
        <v>64</v>
      </c>
      <c r="B208">
        <v>30</v>
      </c>
      <c r="C208" s="2">
        <v>44687</v>
      </c>
      <c r="D208" t="s">
        <v>162</v>
      </c>
      <c r="E208" t="s">
        <v>17</v>
      </c>
      <c r="F208" t="s">
        <v>22</v>
      </c>
      <c r="G208" t="s">
        <v>163</v>
      </c>
      <c r="H208">
        <v>0</v>
      </c>
      <c r="I208">
        <v>0</v>
      </c>
      <c r="J208">
        <v>0</v>
      </c>
      <c r="K208" s="3">
        <v>2.7791956822415799E-5</v>
      </c>
      <c r="L208">
        <v>0</v>
      </c>
      <c r="M208" t="b">
        <v>0</v>
      </c>
      <c r="N208" t="s">
        <v>20</v>
      </c>
    </row>
    <row r="209" spans="1:14" x14ac:dyDescent="0.2">
      <c r="A209" s="1" t="s">
        <v>64</v>
      </c>
      <c r="B209">
        <v>30</v>
      </c>
      <c r="C209" s="2">
        <v>44687</v>
      </c>
      <c r="D209" t="s">
        <v>164</v>
      </c>
      <c r="E209" t="s">
        <v>23</v>
      </c>
      <c r="F209" t="s">
        <v>18</v>
      </c>
      <c r="G209" t="s">
        <v>165</v>
      </c>
      <c r="H209">
        <v>1.87425983045517E-3</v>
      </c>
      <c r="I209">
        <v>0</v>
      </c>
      <c r="J209">
        <v>0</v>
      </c>
      <c r="K209" s="3">
        <v>2.2581443740423701E-5</v>
      </c>
      <c r="L209">
        <v>0</v>
      </c>
      <c r="M209" t="b">
        <v>0</v>
      </c>
      <c r="N209" t="s">
        <v>20</v>
      </c>
    </row>
    <row r="210" spans="1:14" x14ac:dyDescent="0.2">
      <c r="A210" s="1" t="s">
        <v>64</v>
      </c>
      <c r="B210">
        <v>30</v>
      </c>
      <c r="C210" s="2">
        <v>44687</v>
      </c>
      <c r="D210" t="s">
        <v>164</v>
      </c>
      <c r="E210" t="s">
        <v>23</v>
      </c>
      <c r="F210" t="s">
        <v>21</v>
      </c>
      <c r="G210" t="s">
        <v>165</v>
      </c>
      <c r="H210">
        <v>1.87425983045517E-3</v>
      </c>
      <c r="I210">
        <v>0</v>
      </c>
      <c r="J210">
        <v>0</v>
      </c>
      <c r="K210">
        <v>0</v>
      </c>
      <c r="L210">
        <v>0</v>
      </c>
      <c r="M210" t="b">
        <v>0</v>
      </c>
      <c r="N210" t="s">
        <v>20</v>
      </c>
    </row>
    <row r="211" spans="1:14" x14ac:dyDescent="0.2">
      <c r="A211" s="1" t="s">
        <v>64</v>
      </c>
      <c r="B211">
        <v>30</v>
      </c>
      <c r="C211" s="2">
        <v>44687</v>
      </c>
      <c r="D211" t="s">
        <v>164</v>
      </c>
      <c r="E211" t="s">
        <v>23</v>
      </c>
      <c r="F211" t="s">
        <v>22</v>
      </c>
      <c r="G211" t="s">
        <v>165</v>
      </c>
      <c r="H211">
        <v>1.87425983045517E-3</v>
      </c>
      <c r="I211">
        <v>0</v>
      </c>
      <c r="J211">
        <v>0</v>
      </c>
      <c r="K211" s="3">
        <v>2.5090493044915302E-5</v>
      </c>
      <c r="L211">
        <v>0</v>
      </c>
      <c r="M211" t="b">
        <v>0</v>
      </c>
      <c r="N211" t="s">
        <v>20</v>
      </c>
    </row>
    <row r="212" spans="1:14" x14ac:dyDescent="0.2">
      <c r="A212" s="1" t="s">
        <v>39</v>
      </c>
      <c r="B212">
        <v>50</v>
      </c>
      <c r="C212" s="2">
        <v>44748</v>
      </c>
      <c r="D212" t="s">
        <v>166</v>
      </c>
      <c r="E212" t="s">
        <v>17</v>
      </c>
      <c r="F212" t="s">
        <v>18</v>
      </c>
      <c r="G212" t="s">
        <v>167</v>
      </c>
      <c r="H212">
        <v>0</v>
      </c>
      <c r="I212">
        <v>0</v>
      </c>
      <c r="J212">
        <v>0</v>
      </c>
      <c r="K212" s="3">
        <v>2.5055560705865198E-6</v>
      </c>
      <c r="L212">
        <v>0</v>
      </c>
      <c r="M212" t="b">
        <v>0</v>
      </c>
      <c r="N212" t="s">
        <v>20</v>
      </c>
    </row>
    <row r="213" spans="1:14" x14ac:dyDescent="0.2">
      <c r="A213" s="1" t="s">
        <v>39</v>
      </c>
      <c r="B213">
        <v>50</v>
      </c>
      <c r="C213" s="2">
        <v>44748</v>
      </c>
      <c r="D213" t="s">
        <v>166</v>
      </c>
      <c r="E213" t="s">
        <v>17</v>
      </c>
      <c r="F213" t="s">
        <v>21</v>
      </c>
      <c r="G213" t="s">
        <v>167</v>
      </c>
      <c r="H213">
        <v>0</v>
      </c>
      <c r="I213">
        <v>0</v>
      </c>
      <c r="J213">
        <v>0</v>
      </c>
      <c r="K213" s="3">
        <v>2.5055560705865198E-6</v>
      </c>
      <c r="L213">
        <v>0</v>
      </c>
      <c r="M213" t="b">
        <v>0</v>
      </c>
      <c r="N213" t="s">
        <v>20</v>
      </c>
    </row>
    <row r="214" spans="1:14" x14ac:dyDescent="0.2">
      <c r="A214" s="1" t="s">
        <v>39</v>
      </c>
      <c r="B214">
        <v>50</v>
      </c>
      <c r="C214" s="2">
        <v>44748</v>
      </c>
      <c r="D214" t="s">
        <v>166</v>
      </c>
      <c r="E214" t="s">
        <v>17</v>
      </c>
      <c r="F214" t="s">
        <v>22</v>
      </c>
      <c r="G214" t="s">
        <v>167</v>
      </c>
      <c r="H214">
        <v>0</v>
      </c>
      <c r="I214">
        <v>0</v>
      </c>
      <c r="J214">
        <v>0</v>
      </c>
      <c r="K214" s="3">
        <v>2.5055560705865201E-5</v>
      </c>
      <c r="L214">
        <v>0</v>
      </c>
      <c r="M214" t="b">
        <v>0</v>
      </c>
      <c r="N214" t="s">
        <v>20</v>
      </c>
    </row>
    <row r="215" spans="1:14" x14ac:dyDescent="0.2">
      <c r="A215" s="1" t="s">
        <v>39</v>
      </c>
      <c r="B215">
        <v>50</v>
      </c>
      <c r="C215" s="2">
        <v>44748</v>
      </c>
      <c r="D215" t="s">
        <v>168</v>
      </c>
      <c r="E215" t="s">
        <v>23</v>
      </c>
      <c r="F215" t="s">
        <v>18</v>
      </c>
      <c r="G215" t="s">
        <v>169</v>
      </c>
      <c r="H215">
        <v>2.1102028306863598E-3</v>
      </c>
      <c r="I215">
        <v>0</v>
      </c>
      <c r="J215">
        <v>0</v>
      </c>
      <c r="K215" s="3">
        <v>2.5121462270075798E-6</v>
      </c>
      <c r="L215">
        <v>0</v>
      </c>
      <c r="M215" t="b">
        <v>0</v>
      </c>
      <c r="N215" t="s">
        <v>20</v>
      </c>
    </row>
    <row r="216" spans="1:14" x14ac:dyDescent="0.2">
      <c r="A216" s="1" t="s">
        <v>39</v>
      </c>
      <c r="B216">
        <v>50</v>
      </c>
      <c r="C216" s="2">
        <v>44748</v>
      </c>
      <c r="D216" t="s">
        <v>168</v>
      </c>
      <c r="E216" t="s">
        <v>23</v>
      </c>
      <c r="F216" t="s">
        <v>21</v>
      </c>
      <c r="G216" t="s">
        <v>169</v>
      </c>
      <c r="H216">
        <v>2.1102028306863598E-3</v>
      </c>
      <c r="I216">
        <v>0</v>
      </c>
      <c r="J216">
        <v>0</v>
      </c>
      <c r="K216" s="3">
        <v>2.5121462270075798E-6</v>
      </c>
      <c r="L216">
        <v>0</v>
      </c>
      <c r="M216" t="b">
        <v>0</v>
      </c>
      <c r="N216" t="s">
        <v>20</v>
      </c>
    </row>
    <row r="217" spans="1:14" x14ac:dyDescent="0.2">
      <c r="A217" s="1" t="s">
        <v>39</v>
      </c>
      <c r="B217">
        <v>50</v>
      </c>
      <c r="C217" s="2">
        <v>44748</v>
      </c>
      <c r="D217" t="s">
        <v>168</v>
      </c>
      <c r="E217" t="s">
        <v>23</v>
      </c>
      <c r="F217" t="s">
        <v>22</v>
      </c>
      <c r="G217" t="s">
        <v>169</v>
      </c>
      <c r="H217">
        <v>2.1102028306863598E-3</v>
      </c>
      <c r="I217">
        <v>0</v>
      </c>
      <c r="J217">
        <v>0</v>
      </c>
      <c r="K217" s="3">
        <v>2.2609316043068201E-5</v>
      </c>
      <c r="L217">
        <v>0</v>
      </c>
      <c r="M217" t="b">
        <v>0</v>
      </c>
      <c r="N217" t="s">
        <v>20</v>
      </c>
    </row>
    <row r="218" spans="1:14" x14ac:dyDescent="0.2">
      <c r="A218" s="1" t="s">
        <v>64</v>
      </c>
      <c r="B218">
        <v>25</v>
      </c>
      <c r="C218" s="2">
        <v>44683</v>
      </c>
      <c r="D218" t="s">
        <v>170</v>
      </c>
      <c r="E218" t="s">
        <v>17</v>
      </c>
      <c r="F218" t="s">
        <v>18</v>
      </c>
      <c r="G218" t="s">
        <v>171</v>
      </c>
      <c r="H218">
        <v>0</v>
      </c>
      <c r="I218">
        <v>0</v>
      </c>
      <c r="J218">
        <v>0</v>
      </c>
      <c r="K218">
        <v>0</v>
      </c>
      <c r="L218">
        <v>0</v>
      </c>
      <c r="M218" t="b">
        <v>0</v>
      </c>
      <c r="N218" t="s">
        <v>20</v>
      </c>
    </row>
    <row r="219" spans="1:14" x14ac:dyDescent="0.2">
      <c r="A219" s="1" t="s">
        <v>64</v>
      </c>
      <c r="B219">
        <v>25</v>
      </c>
      <c r="C219" s="2">
        <v>44683</v>
      </c>
      <c r="D219" t="s">
        <v>170</v>
      </c>
      <c r="E219" t="s">
        <v>17</v>
      </c>
      <c r="F219" t="s">
        <v>21</v>
      </c>
      <c r="G219" t="s">
        <v>171</v>
      </c>
      <c r="H219">
        <v>0</v>
      </c>
      <c r="I219">
        <v>0</v>
      </c>
      <c r="J219">
        <v>0</v>
      </c>
      <c r="K219" s="3">
        <v>2.5088289873446299E-5</v>
      </c>
      <c r="L219">
        <v>0</v>
      </c>
      <c r="M219" t="b">
        <v>0</v>
      </c>
      <c r="N219" t="s">
        <v>20</v>
      </c>
    </row>
    <row r="220" spans="1:14" x14ac:dyDescent="0.2">
      <c r="A220" s="1" t="s">
        <v>64</v>
      </c>
      <c r="B220">
        <v>25</v>
      </c>
      <c r="C220" s="2">
        <v>44683</v>
      </c>
      <c r="D220" t="s">
        <v>170</v>
      </c>
      <c r="E220" t="s">
        <v>17</v>
      </c>
      <c r="F220" t="s">
        <v>22</v>
      </c>
      <c r="G220" t="s">
        <v>171</v>
      </c>
      <c r="H220">
        <v>0</v>
      </c>
      <c r="I220">
        <v>0</v>
      </c>
      <c r="J220">
        <v>0</v>
      </c>
      <c r="K220" s="3">
        <v>2.5088289873446299E-5</v>
      </c>
      <c r="L220">
        <v>0</v>
      </c>
      <c r="M220" t="b">
        <v>0</v>
      </c>
      <c r="N220" t="s">
        <v>20</v>
      </c>
    </row>
    <row r="221" spans="1:14" x14ac:dyDescent="0.2">
      <c r="A221" s="1" t="s">
        <v>64</v>
      </c>
      <c r="B221">
        <v>25</v>
      </c>
      <c r="C221" s="2">
        <v>44683</v>
      </c>
      <c r="D221" t="s">
        <v>172</v>
      </c>
      <c r="E221" t="s">
        <v>23</v>
      </c>
      <c r="F221" t="s">
        <v>18</v>
      </c>
      <c r="G221" t="s">
        <v>173</v>
      </c>
      <c r="H221">
        <v>2.0764492379295799E-3</v>
      </c>
      <c r="I221">
        <v>0</v>
      </c>
      <c r="J221">
        <v>0</v>
      </c>
      <c r="K221">
        <v>0</v>
      </c>
      <c r="L221">
        <v>0</v>
      </c>
      <c r="M221" t="b">
        <v>0</v>
      </c>
      <c r="N221" t="s">
        <v>20</v>
      </c>
    </row>
    <row r="222" spans="1:14" x14ac:dyDescent="0.2">
      <c r="A222" s="1" t="s">
        <v>64</v>
      </c>
      <c r="B222">
        <v>25</v>
      </c>
      <c r="C222" s="2">
        <v>44683</v>
      </c>
      <c r="D222" t="s">
        <v>172</v>
      </c>
      <c r="E222" t="s">
        <v>23</v>
      </c>
      <c r="F222" t="s">
        <v>21</v>
      </c>
      <c r="G222" t="s">
        <v>173</v>
      </c>
      <c r="H222">
        <v>2.0764492379295799E-3</v>
      </c>
      <c r="I222">
        <v>0</v>
      </c>
      <c r="J222">
        <v>0</v>
      </c>
      <c r="K222" s="3">
        <v>2.5405170121487499E-5</v>
      </c>
      <c r="L222">
        <v>0</v>
      </c>
      <c r="M222" t="b">
        <v>0</v>
      </c>
      <c r="N222" t="s">
        <v>20</v>
      </c>
    </row>
    <row r="223" spans="1:14" x14ac:dyDescent="0.2">
      <c r="A223" s="1" t="s">
        <v>64</v>
      </c>
      <c r="B223">
        <v>25</v>
      </c>
      <c r="C223" s="2">
        <v>44683</v>
      </c>
      <c r="D223" t="s">
        <v>172</v>
      </c>
      <c r="E223" t="s">
        <v>23</v>
      </c>
      <c r="F223" t="s">
        <v>22</v>
      </c>
      <c r="G223" t="s">
        <v>173</v>
      </c>
      <c r="H223">
        <v>2.0764492379295799E-3</v>
      </c>
      <c r="I223">
        <v>0</v>
      </c>
      <c r="J223">
        <v>0</v>
      </c>
      <c r="K223" s="3">
        <v>2.5405170121487499E-5</v>
      </c>
      <c r="L223">
        <v>0</v>
      </c>
      <c r="M223" t="b">
        <v>0</v>
      </c>
      <c r="N223" t="s">
        <v>20</v>
      </c>
    </row>
    <row r="224" spans="1:14" x14ac:dyDescent="0.2">
      <c r="A224" s="1" t="s">
        <v>25</v>
      </c>
      <c r="B224">
        <v>67</v>
      </c>
      <c r="C224" s="2">
        <v>44761</v>
      </c>
      <c r="D224" t="s">
        <v>174</v>
      </c>
      <c r="E224" t="s">
        <v>23</v>
      </c>
      <c r="F224" t="s">
        <v>18</v>
      </c>
      <c r="G224" t="s">
        <v>175</v>
      </c>
      <c r="H224">
        <v>2.2040473090277699E-4</v>
      </c>
      <c r="I224">
        <v>0</v>
      </c>
      <c r="J224">
        <v>0</v>
      </c>
      <c r="K224">
        <v>0</v>
      </c>
      <c r="L224">
        <v>0</v>
      </c>
      <c r="M224" t="b">
        <v>0</v>
      </c>
      <c r="N224" t="s">
        <v>20</v>
      </c>
    </row>
    <row r="225" spans="1:14" x14ac:dyDescent="0.2">
      <c r="A225" s="1" t="s">
        <v>25</v>
      </c>
      <c r="B225">
        <v>67</v>
      </c>
      <c r="C225" s="2">
        <v>44761</v>
      </c>
      <c r="D225" t="s">
        <v>174</v>
      </c>
      <c r="E225" t="s">
        <v>23</v>
      </c>
      <c r="F225" t="s">
        <v>21</v>
      </c>
      <c r="G225" t="s">
        <v>175</v>
      </c>
      <c r="H225">
        <v>2.2040473090277699E-4</v>
      </c>
      <c r="I225">
        <v>0</v>
      </c>
      <c r="J225">
        <v>0</v>
      </c>
      <c r="K225" s="3">
        <v>2.288818359375E-5</v>
      </c>
      <c r="L225">
        <v>0</v>
      </c>
      <c r="M225" t="b">
        <v>0</v>
      </c>
      <c r="N225" t="s">
        <v>20</v>
      </c>
    </row>
    <row r="226" spans="1:14" x14ac:dyDescent="0.2">
      <c r="A226" s="1" t="s">
        <v>25</v>
      </c>
      <c r="B226">
        <v>67</v>
      </c>
      <c r="C226" s="2">
        <v>44761</v>
      </c>
      <c r="D226" t="s">
        <v>174</v>
      </c>
      <c r="E226" t="s">
        <v>23</v>
      </c>
      <c r="F226" t="s">
        <v>22</v>
      </c>
      <c r="G226" t="s">
        <v>175</v>
      </c>
      <c r="H226">
        <v>2.2040473090277699E-4</v>
      </c>
      <c r="I226">
        <v>0</v>
      </c>
      <c r="J226">
        <v>0</v>
      </c>
      <c r="K226" s="3">
        <v>2.54313151041666E-5</v>
      </c>
      <c r="L226">
        <v>0</v>
      </c>
      <c r="M226" t="b">
        <v>0</v>
      </c>
      <c r="N226" t="s">
        <v>20</v>
      </c>
    </row>
    <row r="227" spans="1:14" x14ac:dyDescent="0.2">
      <c r="A227" s="1" t="s">
        <v>39</v>
      </c>
      <c r="B227">
        <v>56</v>
      </c>
      <c r="C227" s="2">
        <v>44746</v>
      </c>
      <c r="D227" t="s">
        <v>176</v>
      </c>
      <c r="E227" t="s">
        <v>17</v>
      </c>
      <c r="F227" t="s">
        <v>18</v>
      </c>
      <c r="G227" t="s">
        <v>177</v>
      </c>
      <c r="H227">
        <v>0</v>
      </c>
      <c r="I227">
        <v>0</v>
      </c>
      <c r="J227">
        <v>0</v>
      </c>
      <c r="K227">
        <v>0</v>
      </c>
      <c r="L227">
        <v>0</v>
      </c>
      <c r="M227" t="b">
        <v>0</v>
      </c>
      <c r="N227" t="s">
        <v>20</v>
      </c>
    </row>
    <row r="228" spans="1:14" x14ac:dyDescent="0.2">
      <c r="A228" s="1" t="s">
        <v>39</v>
      </c>
      <c r="B228">
        <v>56</v>
      </c>
      <c r="C228" s="2">
        <v>44746</v>
      </c>
      <c r="D228" t="s">
        <v>176</v>
      </c>
      <c r="E228" t="s">
        <v>17</v>
      </c>
      <c r="F228" t="s">
        <v>21</v>
      </c>
      <c r="G228" t="s">
        <v>177</v>
      </c>
      <c r="H228">
        <v>0</v>
      </c>
      <c r="I228">
        <v>0</v>
      </c>
      <c r="J228">
        <v>0</v>
      </c>
      <c r="K228">
        <v>0</v>
      </c>
      <c r="L228">
        <v>0</v>
      </c>
      <c r="M228" t="b">
        <v>0</v>
      </c>
      <c r="N228" t="s">
        <v>20</v>
      </c>
    </row>
    <row r="229" spans="1:14" x14ac:dyDescent="0.2">
      <c r="A229" s="1" t="s">
        <v>39</v>
      </c>
      <c r="B229">
        <v>56</v>
      </c>
      <c r="C229" s="2">
        <v>44746</v>
      </c>
      <c r="D229" t="s">
        <v>176</v>
      </c>
      <c r="E229" t="s">
        <v>17</v>
      </c>
      <c r="F229" t="s">
        <v>22</v>
      </c>
      <c r="G229" t="s">
        <v>177</v>
      </c>
      <c r="H229">
        <v>0</v>
      </c>
      <c r="I229">
        <v>0</v>
      </c>
      <c r="J229">
        <v>0</v>
      </c>
      <c r="K229" s="3">
        <v>2.5043324952167199E-5</v>
      </c>
      <c r="L229">
        <v>0</v>
      </c>
      <c r="M229" t="b">
        <v>0</v>
      </c>
      <c r="N229" t="s">
        <v>20</v>
      </c>
    </row>
    <row r="230" spans="1:14" x14ac:dyDescent="0.2">
      <c r="A230" s="1" t="s">
        <v>39</v>
      </c>
      <c r="B230">
        <v>56</v>
      </c>
      <c r="C230" s="2">
        <v>44746</v>
      </c>
      <c r="D230" t="s">
        <v>178</v>
      </c>
      <c r="E230" t="s">
        <v>23</v>
      </c>
      <c r="F230" t="s">
        <v>18</v>
      </c>
      <c r="G230" t="s">
        <v>179</v>
      </c>
      <c r="H230" s="3">
        <v>6.7396912210466997E-6</v>
      </c>
      <c r="I230">
        <v>0</v>
      </c>
      <c r="J230">
        <v>0</v>
      </c>
      <c r="K230">
        <v>0</v>
      </c>
      <c r="L230">
        <v>0</v>
      </c>
      <c r="M230" t="b">
        <v>0</v>
      </c>
      <c r="N230" t="s">
        <v>20</v>
      </c>
    </row>
    <row r="231" spans="1:14" x14ac:dyDescent="0.2">
      <c r="A231" s="1" t="s">
        <v>39</v>
      </c>
      <c r="B231">
        <v>56</v>
      </c>
      <c r="C231" s="2">
        <v>44746</v>
      </c>
      <c r="D231" t="s">
        <v>178</v>
      </c>
      <c r="E231" t="s">
        <v>23</v>
      </c>
      <c r="F231" t="s">
        <v>21</v>
      </c>
      <c r="G231" t="s">
        <v>179</v>
      </c>
      <c r="H231" s="3">
        <v>6.7396912210466997E-6</v>
      </c>
      <c r="I231">
        <v>0</v>
      </c>
      <c r="J231">
        <v>0</v>
      </c>
      <c r="K231">
        <v>0</v>
      </c>
      <c r="L231">
        <v>0</v>
      </c>
      <c r="M231" t="b">
        <v>0</v>
      </c>
      <c r="N231" t="s">
        <v>20</v>
      </c>
    </row>
    <row r="232" spans="1:14" x14ac:dyDescent="0.2">
      <c r="A232" s="1" t="s">
        <v>39</v>
      </c>
      <c r="B232">
        <v>56</v>
      </c>
      <c r="C232" s="2">
        <v>44746</v>
      </c>
      <c r="D232" t="s">
        <v>178</v>
      </c>
      <c r="E232" t="s">
        <v>23</v>
      </c>
      <c r="F232" t="s">
        <v>22</v>
      </c>
      <c r="G232" t="s">
        <v>179</v>
      </c>
      <c r="H232" s="3">
        <v>6.7396912210466997E-6</v>
      </c>
      <c r="I232">
        <v>0</v>
      </c>
      <c r="J232">
        <v>0</v>
      </c>
      <c r="K232" s="3">
        <v>2.52738420789251E-5</v>
      </c>
      <c r="L232">
        <v>0</v>
      </c>
      <c r="M232" t="b">
        <v>0</v>
      </c>
      <c r="N232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Gonçalo Dias de Carvalho Barros</dc:creator>
  <cp:lastModifiedBy>Gonçalo Dias de Carvalho Barros</cp:lastModifiedBy>
  <dcterms:created xsi:type="dcterms:W3CDTF">2025-07-16T14:00:16Z</dcterms:created>
  <dcterms:modified xsi:type="dcterms:W3CDTF">2025-07-17T09:51:20Z</dcterms:modified>
</cp:coreProperties>
</file>